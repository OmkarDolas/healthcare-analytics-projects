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Resume 2026\IBX\github\p2\outputs\"/>
    </mc:Choice>
  </mc:AlternateContent>
  <xr:revisionPtr revIDLastSave="0" documentId="13_ncr:1_{BFF0E39A-7918-4426-BC54-E4926CD48CBE}" xr6:coauthVersionLast="47" xr6:coauthVersionMax="47" xr10:uidLastSave="{00000000-0000-0000-0000-000000000000}"/>
  <bookViews>
    <workbookView xWindow="-28920" yWindow="4095" windowWidth="29040" windowHeight="15720" xr2:uid="{00000000-000D-0000-FFFF-FFFF00000000}"/>
  </bookViews>
  <sheets>
    <sheet name="Report" sheetId="1" r:id="rId1"/>
    <sheet name="Pivot" sheetId="8" r:id="rId2"/>
    <sheet name="Data" sheetId="2" r:id="rId3"/>
    <sheet name="Products" sheetId="3" r:id="rId4"/>
    <sheet name="Budget" sheetId="4" r:id="rId5"/>
    <sheet name="Forecast" sheetId="5" r:id="rId6"/>
    <sheet name="Reconciliation" sheetId="6" r:id="rId7"/>
    <sheet name="Lists" sheetId="7" state="hidden" r:id="rId8"/>
  </sheets>
  <calcPr calcId="181029"/>
  <pivotCaches>
    <pivotCache cacheId="5" r:id="rId9"/>
  </pivotCaches>
</workbook>
</file>

<file path=xl/calcChain.xml><?xml version="1.0" encoding="utf-8"?>
<calcChain xmlns="http://schemas.openxmlformats.org/spreadsheetml/2006/main">
  <c r="E55" i="4" l="1"/>
  <c r="F55" i="4" s="1"/>
  <c r="F54" i="4"/>
  <c r="E54" i="4"/>
  <c r="E53" i="4"/>
  <c r="F53" i="4" s="1"/>
  <c r="E52" i="4"/>
  <c r="F52" i="4" s="1"/>
  <c r="E51" i="4"/>
  <c r="F51" i="4" s="1"/>
  <c r="E50" i="4"/>
  <c r="F50" i="4" s="1"/>
  <c r="E49" i="4"/>
  <c r="F49" i="4" s="1"/>
  <c r="E48" i="4"/>
  <c r="F48" i="4" s="1"/>
  <c r="E47" i="4"/>
  <c r="F47" i="4" s="1"/>
  <c r="E46" i="4"/>
  <c r="F46" i="4" s="1"/>
  <c r="E45" i="4"/>
  <c r="F45" i="4" s="1"/>
  <c r="E44" i="4"/>
  <c r="F44" i="4" s="1"/>
  <c r="E43" i="4"/>
  <c r="F43" i="4" s="1"/>
  <c r="E42" i="4"/>
  <c r="F42" i="4" s="1"/>
  <c r="E41" i="4"/>
  <c r="F41" i="4" s="1"/>
  <c r="E40" i="4"/>
  <c r="F40" i="4" s="1"/>
  <c r="E39" i="4"/>
  <c r="F39" i="4" s="1"/>
  <c r="E38" i="4"/>
  <c r="F38" i="4" s="1"/>
  <c r="E37" i="4"/>
  <c r="F37" i="4" s="1"/>
  <c r="E36" i="4"/>
  <c r="F36" i="4" s="1"/>
  <c r="E35" i="4"/>
  <c r="F35" i="4" s="1"/>
  <c r="E34" i="4"/>
  <c r="F34" i="4" s="1"/>
  <c r="E33" i="4"/>
  <c r="F33" i="4" s="1"/>
  <c r="E32" i="4"/>
  <c r="F32" i="4" s="1"/>
  <c r="E31" i="4"/>
  <c r="F31" i="4" s="1"/>
  <c r="E30" i="4"/>
  <c r="F30" i="4" s="1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E4" i="4"/>
  <c r="F4" i="4" s="1"/>
  <c r="E3" i="4"/>
  <c r="F3" i="4" s="1"/>
  <c r="E2" i="4"/>
  <c r="F2" i="4" s="1"/>
  <c r="B14" i="1"/>
  <c r="B13" i="1"/>
  <c r="B12" i="1"/>
  <c r="B11" i="1"/>
  <c r="B10" i="1"/>
  <c r="B9" i="1"/>
  <c r="B6" i="1"/>
  <c r="B5" i="1"/>
  <c r="B7" i="1" s="1"/>
  <c r="B8" i="1" s="1"/>
  <c r="B15" i="1" l="1"/>
</calcChain>
</file>

<file path=xl/sharedStrings.xml><?xml version="1.0" encoding="utf-8"?>
<sst xmlns="http://schemas.openxmlformats.org/spreadsheetml/2006/main" count="1332" uniqueCount="67">
  <si>
    <t>Membership Report - select a product and month</t>
  </si>
  <si>
    <t>Product</t>
  </si>
  <si>
    <t>MA-HMO</t>
  </si>
  <si>
    <t>Yellow cells are dropdowns (data validation). All other values are live formulas.</t>
  </si>
  <si>
    <t>Month</t>
  </si>
  <si>
    <t>Members</t>
  </si>
  <si>
    <t>Members, same month last year</t>
  </si>
  <si>
    <t>YoY change</t>
  </si>
  <si>
    <t>YoY %</t>
  </si>
  <si>
    <t>Gross adds</t>
  </si>
  <si>
    <t>Terminations</t>
  </si>
  <si>
    <t>Line of business (INDEX-MATCH)</t>
  </si>
  <si>
    <t>Owner team (XLOOKUP)</t>
  </si>
  <si>
    <t>XLOOKUP needs Excel 2021 or Microsoft 365; VLOOKUP and INDEX-MATCH give the same answer.</t>
  </si>
  <si>
    <t>Owner team (VLOOKUP)</t>
  </si>
  <si>
    <t>2026 budget</t>
  </si>
  <si>
    <t>Variance to budget %</t>
  </si>
  <si>
    <t>month</t>
  </si>
  <si>
    <t>product</t>
  </si>
  <si>
    <t>line_of_business</t>
  </si>
  <si>
    <t>members</t>
  </si>
  <si>
    <t>gross_adds</t>
  </si>
  <si>
    <t>terminations</t>
  </si>
  <si>
    <t>net_change</t>
  </si>
  <si>
    <t>mom_pct</t>
  </si>
  <si>
    <t>yoy_pct</t>
  </si>
  <si>
    <t>year</t>
  </si>
  <si>
    <t>ACA Individual</t>
  </si>
  <si>
    <t>Commercial Individual</t>
  </si>
  <si>
    <t>Large Group</t>
  </si>
  <si>
    <t>Commercial Group</t>
  </si>
  <si>
    <t>Medicare Advantage</t>
  </si>
  <si>
    <t>MA-PPO</t>
  </si>
  <si>
    <t>PDP</t>
  </si>
  <si>
    <t>Medicare Part D</t>
  </si>
  <si>
    <t>Small Group</t>
  </si>
  <si>
    <t>owner_team</t>
  </si>
  <si>
    <t>Government Markets</t>
  </si>
  <si>
    <t>Commercial Sales</t>
  </si>
  <si>
    <t>actual_members</t>
  </si>
  <si>
    <t>budget_members</t>
  </si>
  <si>
    <t>variance</t>
  </si>
  <si>
    <t>variance_pct</t>
  </si>
  <si>
    <t>forecast_members</t>
  </si>
  <si>
    <t>type</t>
  </si>
  <si>
    <t>flag</t>
  </si>
  <si>
    <t>backtest</t>
  </si>
  <si>
    <t>RESEARCH</t>
  </si>
  <si>
    <t>forecast</t>
  </si>
  <si>
    <t>OK</t>
  </si>
  <si>
    <t>region</t>
  </si>
  <si>
    <t>enrollment_members</t>
  </si>
  <si>
    <t>finance_members</t>
  </si>
  <si>
    <t>status</t>
  </si>
  <si>
    <t>2026-03-01</t>
  </si>
  <si>
    <t>Philadelphia</t>
  </si>
  <si>
    <t>2026-06-01</t>
  </si>
  <si>
    <t>Bucks</t>
  </si>
  <si>
    <t>Chester</t>
  </si>
  <si>
    <t>Delaware</t>
  </si>
  <si>
    <t>Montgomery</t>
  </si>
  <si>
    <t>(All)</t>
  </si>
  <si>
    <t>Row Labels</t>
  </si>
  <si>
    <t>Grand Total</t>
  </si>
  <si>
    <t>Column Labels</t>
  </si>
  <si>
    <t>Avg monthly members</t>
  </si>
  <si>
    <t>PivotTable: average monthly members by product and year (filter by line of business)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</si>
</sst>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"/>
    <numFmt numFmtId="166" formatCode="0.0%"/>
    <numFmt numFmtId="167" formatCode="mmm\ 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3864"/>
      <name val="Calibri"/>
    </font>
    <font>
      <b/>
      <sz val="11"/>
      <name val="Calibri"/>
    </font>
    <font>
      <i/>
      <sz val="11"/>
      <color rgb="FF7F7F7F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0" fillId="3" borderId="0" xfId="0" applyFill="1"/>
    <xf numFmtId="0" fontId="4" fillId="0" borderId="0" xfId="0" applyFont="1"/>
    <xf numFmtId="167" fontId="0" fillId="3" borderId="0" xfId="0" applyNumberFormat="1" applyFill="1"/>
    <xf numFmtId="3" fontId="0" fillId="0" borderId="0" xfId="0" applyNumberFormat="1"/>
    <xf numFmtId="166" fontId="0" fillId="0" borderId="0" xfId="0" applyNumberFormat="1"/>
    <xf numFmtId="165" fontId="0" fillId="0" borderId="0" xfId="0" applyNumberFormat="1"/>
    <xf numFmtId="0" fontId="1" fillId="2" borderId="0" xfId="0" applyFont="1" applyFill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pivotButton="1" applyFont="1"/>
  </cellXfs>
  <cellStyles count="1">
    <cellStyle name="Normal" xfId="0" builtinId="0"/>
  </cellStyles>
  <dxfs count="5">
    <dxf>
      <font>
        <b/>
      </font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kar" refreshedDate="46322.478604050928" createdVersion="8" refreshedVersion="8" minRefreshableVersion="3" recordCount="414" xr:uid="{2B4EF154-BF92-45D5-82CA-C1DBE3D90704}">
  <cacheSource type="worksheet">
    <worksheetSource ref="A1:J415" sheet="Data"/>
  </cacheSource>
  <cacheFields count="10">
    <cacheField name="month" numFmtId="165">
      <sharedItems containsSemiMixedTypes="0" containsNonDate="0" containsDate="1" containsString="0" minDate="2021-01-01T00:00:00" maxDate="2026-09-02T00:00:00"/>
    </cacheField>
    <cacheField name="product" numFmtId="0">
      <sharedItems count="6">
        <s v="ACA Individual"/>
        <s v="Large Group"/>
        <s v="MA-HMO"/>
        <s v="MA-PPO"/>
        <s v="PDP"/>
        <s v="Small Group"/>
      </sharedItems>
    </cacheField>
    <cacheField name="line_of_business" numFmtId="0">
      <sharedItems count="4">
        <s v="Commercial Individual"/>
        <s v="Commercial Group"/>
        <s v="Medicare Advantage"/>
        <s v="Medicare Part D"/>
      </sharedItems>
    </cacheField>
    <cacheField name="members" numFmtId="3">
      <sharedItems containsSemiMixedTypes="0" containsString="0" containsNumber="1" containsInteger="1" minValue="27892" maxValue="243805"/>
    </cacheField>
    <cacheField name="gross_adds" numFmtId="0">
      <sharedItems containsSemiMixedTypes="0" containsString="0" containsNumber="1" containsInteger="1" minValue="246" maxValue="7171"/>
    </cacheField>
    <cacheField name="terminations" numFmtId="0">
      <sharedItems containsSemiMixedTypes="0" containsString="0" containsNumber="1" containsInteger="1" minValue="0" maxValue="3764"/>
    </cacheField>
    <cacheField name="net_change" numFmtId="0">
      <sharedItems containsString="0" containsBlank="1" containsNumber="1" containsInteger="1" minValue="-1343" maxValue="5091"/>
    </cacheField>
    <cacheField name="mom_pct" numFmtId="0">
      <sharedItems containsString="0" containsBlank="1" containsNumber="1" minValue="-2.65" maxValue="8.61"/>
    </cacheField>
    <cacheField name="yoy_pct" numFmtId="0">
      <sharedItems containsString="0" containsBlank="1" containsNumber="1" minValue="-8.86" maxValue="12.49"/>
    </cacheField>
    <cacheField name="year" numFmtId="0">
      <sharedItems containsSemiMixedTypes="0" containsString="0" containsNumber="1" containsInteger="1" minValue="2021" maxValue="2026" count="6">
        <n v="2021"/>
        <n v="2022"/>
        <n v="2023"/>
        <n v="2024"/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4">
  <r>
    <d v="2021-01-01T00:00:00"/>
    <x v="0"/>
    <x v="0"/>
    <n v="37870"/>
    <n v="3339"/>
    <n v="0"/>
    <m/>
    <m/>
    <m/>
    <x v="0"/>
  </r>
  <r>
    <d v="2021-02-01T00:00:00"/>
    <x v="0"/>
    <x v="0"/>
    <n v="37434"/>
    <n v="357"/>
    <n v="793"/>
    <n v="-436"/>
    <n v="-1.1499999999999999"/>
    <m/>
    <x v="0"/>
  </r>
  <r>
    <d v="2021-03-01T00:00:00"/>
    <x v="0"/>
    <x v="0"/>
    <n v="36786"/>
    <n v="391"/>
    <n v="1039"/>
    <n v="-648"/>
    <n v="-1.73"/>
    <m/>
    <x v="0"/>
  </r>
  <r>
    <d v="2021-04-01T00:00:00"/>
    <x v="0"/>
    <x v="0"/>
    <n v="36854"/>
    <n v="530"/>
    <n v="462"/>
    <n v="68"/>
    <n v="0.18"/>
    <m/>
    <x v="0"/>
  </r>
  <r>
    <d v="2021-05-01T00:00:00"/>
    <x v="0"/>
    <x v="0"/>
    <n v="37052"/>
    <n v="541"/>
    <n v="343"/>
    <n v="198"/>
    <n v="0.54"/>
    <m/>
    <x v="0"/>
  </r>
  <r>
    <d v="2021-06-01T00:00:00"/>
    <x v="0"/>
    <x v="0"/>
    <n v="37161"/>
    <n v="458"/>
    <n v="349"/>
    <n v="109"/>
    <n v="0.28999999999999998"/>
    <m/>
    <x v="0"/>
  </r>
  <r>
    <d v="2021-07-01T00:00:00"/>
    <x v="0"/>
    <x v="0"/>
    <n v="37277"/>
    <n v="423"/>
    <n v="307"/>
    <n v="116"/>
    <n v="0.31"/>
    <m/>
    <x v="0"/>
  </r>
  <r>
    <d v="2021-08-01T00:00:00"/>
    <x v="0"/>
    <x v="0"/>
    <n v="37434"/>
    <n v="521"/>
    <n v="364"/>
    <n v="157"/>
    <n v="0.42"/>
    <m/>
    <x v="0"/>
  </r>
  <r>
    <d v="2021-09-01T00:00:00"/>
    <x v="0"/>
    <x v="0"/>
    <n v="37508"/>
    <n v="395"/>
    <n v="321"/>
    <n v="74"/>
    <n v="0.2"/>
    <m/>
    <x v="0"/>
  </r>
  <r>
    <d v="2021-10-01T00:00:00"/>
    <x v="0"/>
    <x v="0"/>
    <n v="37365"/>
    <n v="374"/>
    <n v="561"/>
    <n v="-143"/>
    <n v="-0.38"/>
    <m/>
    <x v="0"/>
  </r>
  <r>
    <d v="2021-11-01T00:00:00"/>
    <x v="0"/>
    <x v="0"/>
    <n v="37460"/>
    <n v="456"/>
    <n v="361"/>
    <n v="95"/>
    <n v="0.25"/>
    <m/>
    <x v="0"/>
  </r>
  <r>
    <d v="2021-12-01T00:00:00"/>
    <x v="0"/>
    <x v="0"/>
    <n v="37520"/>
    <n v="426"/>
    <n v="366"/>
    <n v="60"/>
    <n v="0.16"/>
    <m/>
    <x v="0"/>
  </r>
  <r>
    <d v="2022-01-01T00:00:00"/>
    <x v="0"/>
    <x v="0"/>
    <n v="40579"/>
    <n v="3483"/>
    <n v="424"/>
    <n v="3059"/>
    <n v="8.15"/>
    <n v="7.15"/>
    <x v="1"/>
  </r>
  <r>
    <d v="2022-02-01T00:00:00"/>
    <x v="0"/>
    <x v="0"/>
    <n v="39929"/>
    <n v="407"/>
    <n v="1057"/>
    <n v="-650"/>
    <n v="-1.6"/>
    <n v="6.67"/>
    <x v="1"/>
  </r>
  <r>
    <d v="2022-03-01T00:00:00"/>
    <x v="0"/>
    <x v="0"/>
    <n v="39203"/>
    <n v="413"/>
    <n v="1139"/>
    <n v="-726"/>
    <n v="-1.82"/>
    <n v="6.57"/>
    <x v="1"/>
  </r>
  <r>
    <d v="2022-04-01T00:00:00"/>
    <x v="0"/>
    <x v="0"/>
    <n v="39331"/>
    <n v="539"/>
    <n v="411"/>
    <n v="128"/>
    <n v="0.33"/>
    <n v="6.72"/>
    <x v="1"/>
  </r>
  <r>
    <d v="2022-05-01T00:00:00"/>
    <x v="0"/>
    <x v="0"/>
    <n v="39421"/>
    <n v="469"/>
    <n v="381"/>
    <n v="90"/>
    <n v="0.23"/>
    <n v="6.39"/>
    <x v="1"/>
  </r>
  <r>
    <d v="2022-06-01T00:00:00"/>
    <x v="0"/>
    <x v="0"/>
    <n v="39643"/>
    <n v="479"/>
    <n v="257"/>
    <n v="222"/>
    <n v="0.56000000000000005"/>
    <n v="6.68"/>
    <x v="1"/>
  </r>
  <r>
    <d v="2022-07-01T00:00:00"/>
    <x v="0"/>
    <x v="0"/>
    <n v="39416"/>
    <n v="401"/>
    <n v="628"/>
    <n v="-227"/>
    <n v="-0.56999999999999995"/>
    <n v="5.74"/>
    <x v="1"/>
  </r>
  <r>
    <d v="2022-08-01T00:00:00"/>
    <x v="0"/>
    <x v="0"/>
    <n v="39443"/>
    <n v="402"/>
    <n v="375"/>
    <n v="27"/>
    <n v="7.0000000000000007E-2"/>
    <n v="5.37"/>
    <x v="1"/>
  </r>
  <r>
    <d v="2022-09-01T00:00:00"/>
    <x v="0"/>
    <x v="0"/>
    <n v="39431"/>
    <n v="437"/>
    <n v="449"/>
    <n v="-12"/>
    <n v="-0.03"/>
    <n v="5.13"/>
    <x v="1"/>
  </r>
  <r>
    <d v="2022-10-01T00:00:00"/>
    <x v="0"/>
    <x v="0"/>
    <n v="39572"/>
    <n v="556"/>
    <n v="415"/>
    <n v="141"/>
    <n v="0.36"/>
    <n v="5.91"/>
    <x v="1"/>
  </r>
  <r>
    <d v="2022-11-01T00:00:00"/>
    <x v="0"/>
    <x v="0"/>
    <n v="39713"/>
    <n v="501"/>
    <n v="360"/>
    <n v="141"/>
    <n v="0.36"/>
    <n v="6.01"/>
    <x v="1"/>
  </r>
  <r>
    <d v="2022-12-01T00:00:00"/>
    <x v="0"/>
    <x v="0"/>
    <n v="39713"/>
    <n v="468"/>
    <n v="494"/>
    <n v="0"/>
    <n v="0"/>
    <n v="5.84"/>
    <x v="1"/>
  </r>
  <r>
    <d v="2023-01-01T00:00:00"/>
    <x v="0"/>
    <x v="0"/>
    <n v="42749"/>
    <n v="3518"/>
    <n v="482"/>
    <n v="3036"/>
    <n v="7.64"/>
    <n v="5.35"/>
    <x v="2"/>
  </r>
  <r>
    <d v="2023-02-01T00:00:00"/>
    <x v="0"/>
    <x v="0"/>
    <n v="42053"/>
    <n v="441"/>
    <n v="1137"/>
    <n v="-696"/>
    <n v="-1.63"/>
    <n v="5.32"/>
    <x v="2"/>
  </r>
  <r>
    <d v="2023-03-01T00:00:00"/>
    <x v="0"/>
    <x v="0"/>
    <n v="41254"/>
    <n v="375"/>
    <n v="1174"/>
    <n v="-799"/>
    <n v="-1.9"/>
    <n v="5.23"/>
    <x v="2"/>
  </r>
  <r>
    <d v="2023-04-01T00:00:00"/>
    <x v="0"/>
    <x v="0"/>
    <n v="41360"/>
    <n v="521"/>
    <n v="415"/>
    <n v="106"/>
    <n v="0.26"/>
    <n v="5.16"/>
    <x v="2"/>
  </r>
  <r>
    <d v="2023-05-01T00:00:00"/>
    <x v="0"/>
    <x v="0"/>
    <n v="41663"/>
    <n v="556"/>
    <n v="253"/>
    <n v="303"/>
    <n v="0.73"/>
    <n v="5.69"/>
    <x v="2"/>
  </r>
  <r>
    <d v="2023-06-01T00:00:00"/>
    <x v="0"/>
    <x v="0"/>
    <n v="41866"/>
    <n v="606"/>
    <n v="414"/>
    <n v="203"/>
    <n v="0.49"/>
    <n v="5.61"/>
    <x v="2"/>
  </r>
  <r>
    <d v="2023-07-01T00:00:00"/>
    <x v="0"/>
    <x v="0"/>
    <n v="41979"/>
    <n v="428"/>
    <n v="315"/>
    <n v="113"/>
    <n v="0.27"/>
    <n v="6.5"/>
    <x v="2"/>
  </r>
  <r>
    <d v="2023-08-01T00:00:00"/>
    <x v="0"/>
    <x v="0"/>
    <n v="41907"/>
    <n v="481"/>
    <n v="553"/>
    <n v="-72"/>
    <n v="-0.17"/>
    <n v="6.25"/>
    <x v="2"/>
  </r>
  <r>
    <d v="2023-09-01T00:00:00"/>
    <x v="0"/>
    <x v="0"/>
    <n v="42051"/>
    <n v="631"/>
    <n v="487"/>
    <n v="144"/>
    <n v="0.34"/>
    <n v="6.64"/>
    <x v="2"/>
  </r>
  <r>
    <d v="2023-10-01T00:00:00"/>
    <x v="0"/>
    <x v="0"/>
    <n v="42332"/>
    <n v="576"/>
    <n v="322"/>
    <n v="281"/>
    <n v="0.67"/>
    <n v="6.97"/>
    <x v="2"/>
  </r>
  <r>
    <d v="2023-11-01T00:00:00"/>
    <x v="0"/>
    <x v="0"/>
    <n v="42422"/>
    <n v="510"/>
    <n v="420"/>
    <n v="90"/>
    <n v="0.21"/>
    <n v="6.82"/>
    <x v="2"/>
  </r>
  <r>
    <d v="2023-12-01T00:00:00"/>
    <x v="0"/>
    <x v="0"/>
    <n v="42570"/>
    <n v="499"/>
    <n v="351"/>
    <n v="148"/>
    <n v="0.35"/>
    <n v="7.19"/>
    <x v="2"/>
  </r>
  <r>
    <d v="2024-01-01T00:00:00"/>
    <x v="0"/>
    <x v="0"/>
    <n v="46237"/>
    <n v="3989"/>
    <n v="342"/>
    <n v="3667"/>
    <n v="8.61"/>
    <n v="8.16"/>
    <x v="3"/>
  </r>
  <r>
    <d v="2024-02-01T00:00:00"/>
    <x v="0"/>
    <x v="0"/>
    <n v="45355"/>
    <n v="477"/>
    <n v="1359"/>
    <n v="-882"/>
    <n v="-1.91"/>
    <n v="7.85"/>
    <x v="3"/>
  </r>
  <r>
    <d v="2024-03-01T00:00:00"/>
    <x v="0"/>
    <x v="0"/>
    <n v="44280"/>
    <n v="449"/>
    <n v="1524"/>
    <n v="-1075"/>
    <n v="-2.37"/>
    <n v="7.34"/>
    <x v="3"/>
  </r>
  <r>
    <d v="2024-04-01T00:00:00"/>
    <x v="0"/>
    <x v="0"/>
    <n v="44639"/>
    <n v="618"/>
    <n v="281"/>
    <n v="359"/>
    <n v="0.81"/>
    <n v="7.93"/>
    <x v="3"/>
  </r>
  <r>
    <d v="2024-05-01T00:00:00"/>
    <x v="0"/>
    <x v="0"/>
    <n v="44396"/>
    <n v="376"/>
    <n v="619"/>
    <n v="-243"/>
    <n v="-0.54"/>
    <n v="6.56"/>
    <x v="3"/>
  </r>
  <r>
    <d v="2024-06-01T00:00:00"/>
    <x v="0"/>
    <x v="0"/>
    <n v="44679"/>
    <n v="649"/>
    <n v="366"/>
    <n v="283"/>
    <n v="0.64"/>
    <n v="6.72"/>
    <x v="3"/>
  </r>
  <r>
    <d v="2024-07-01T00:00:00"/>
    <x v="0"/>
    <x v="0"/>
    <n v="44903"/>
    <n v="590"/>
    <n v="367"/>
    <n v="224"/>
    <n v="0.5"/>
    <n v="6.97"/>
    <x v="3"/>
  </r>
  <r>
    <d v="2024-08-01T00:00:00"/>
    <x v="0"/>
    <x v="0"/>
    <n v="44662"/>
    <n v="468"/>
    <n v="709"/>
    <n v="-241"/>
    <n v="-0.54"/>
    <n v="6.57"/>
    <x v="3"/>
  </r>
  <r>
    <d v="2024-09-01T00:00:00"/>
    <x v="0"/>
    <x v="0"/>
    <n v="44831"/>
    <n v="574"/>
    <n v="419"/>
    <n v="169"/>
    <n v="0.38"/>
    <n v="6.61"/>
    <x v="3"/>
  </r>
  <r>
    <d v="2024-10-01T00:00:00"/>
    <x v="0"/>
    <x v="0"/>
    <n v="44968"/>
    <n v="499"/>
    <n v="362"/>
    <n v="137"/>
    <n v="0.31"/>
    <n v="6.23"/>
    <x v="3"/>
  </r>
  <r>
    <d v="2024-11-01T00:00:00"/>
    <x v="0"/>
    <x v="0"/>
    <n v="44913"/>
    <n v="573"/>
    <n v="628"/>
    <n v="-55"/>
    <n v="-0.12"/>
    <n v="5.87"/>
    <x v="3"/>
  </r>
  <r>
    <d v="2024-12-01T00:00:00"/>
    <x v="0"/>
    <x v="0"/>
    <n v="45114"/>
    <n v="546"/>
    <n v="345"/>
    <n v="201"/>
    <n v="0.45"/>
    <n v="5.98"/>
    <x v="3"/>
  </r>
  <r>
    <d v="2025-01-01T00:00:00"/>
    <x v="0"/>
    <x v="0"/>
    <n v="48885"/>
    <n v="4105"/>
    <n v="358"/>
    <n v="3771"/>
    <n v="8.36"/>
    <n v="5.73"/>
    <x v="4"/>
  </r>
  <r>
    <d v="2025-02-01T00:00:00"/>
    <x v="0"/>
    <x v="0"/>
    <n v="47943"/>
    <n v="524"/>
    <n v="1466"/>
    <n v="-942"/>
    <n v="-1.93"/>
    <n v="5.71"/>
    <x v="4"/>
  </r>
  <r>
    <d v="2025-03-01T00:00:00"/>
    <x v="0"/>
    <x v="0"/>
    <n v="47116"/>
    <n v="468"/>
    <n v="1295"/>
    <n v="-827"/>
    <n v="-1.72"/>
    <n v="6.4"/>
    <x v="4"/>
  </r>
  <r>
    <d v="2025-04-01T00:00:00"/>
    <x v="0"/>
    <x v="0"/>
    <n v="47018"/>
    <n v="477"/>
    <n v="575"/>
    <n v="-98"/>
    <n v="-0.21"/>
    <n v="5.33"/>
    <x v="4"/>
  </r>
  <r>
    <d v="2025-05-01T00:00:00"/>
    <x v="0"/>
    <x v="0"/>
    <n v="47038"/>
    <n v="593"/>
    <n v="573"/>
    <n v="20"/>
    <n v="0.04"/>
    <n v="5.95"/>
    <x v="4"/>
  </r>
  <r>
    <d v="2025-06-01T00:00:00"/>
    <x v="0"/>
    <x v="0"/>
    <n v="47162"/>
    <n v="463"/>
    <n v="339"/>
    <n v="124"/>
    <n v="0.26"/>
    <n v="5.56"/>
    <x v="4"/>
  </r>
  <r>
    <d v="2025-07-01T00:00:00"/>
    <x v="0"/>
    <x v="0"/>
    <n v="47320"/>
    <n v="633"/>
    <n v="475"/>
    <n v="158"/>
    <n v="0.34"/>
    <n v="5.38"/>
    <x v="4"/>
  </r>
  <r>
    <d v="2025-08-01T00:00:00"/>
    <x v="0"/>
    <x v="0"/>
    <n v="47572"/>
    <n v="622"/>
    <n v="370"/>
    <n v="252"/>
    <n v="0.53"/>
    <n v="6.52"/>
    <x v="4"/>
  </r>
  <r>
    <d v="2025-09-01T00:00:00"/>
    <x v="0"/>
    <x v="0"/>
    <n v="47497"/>
    <n v="669"/>
    <n v="744"/>
    <n v="-75"/>
    <n v="-0.16"/>
    <n v="5.95"/>
    <x v="4"/>
  </r>
  <r>
    <d v="2025-10-01T00:00:00"/>
    <x v="0"/>
    <x v="0"/>
    <n v="47896"/>
    <n v="502"/>
    <n v="156"/>
    <n v="399"/>
    <n v="0.84"/>
    <n v="6.51"/>
    <x v="4"/>
  </r>
  <r>
    <d v="2025-11-01T00:00:00"/>
    <x v="0"/>
    <x v="0"/>
    <n v="47785"/>
    <n v="557"/>
    <n v="668"/>
    <n v="-111"/>
    <n v="-0.23"/>
    <n v="6.39"/>
    <x v="4"/>
  </r>
  <r>
    <d v="2025-12-01T00:00:00"/>
    <x v="0"/>
    <x v="0"/>
    <n v="47830"/>
    <n v="687"/>
    <n v="642"/>
    <n v="45"/>
    <n v="0.09"/>
    <n v="6.02"/>
    <x v="4"/>
  </r>
  <r>
    <d v="2026-01-01T00:00:00"/>
    <x v="0"/>
    <x v="0"/>
    <n v="46990"/>
    <n v="467"/>
    <n v="1307"/>
    <n v="-840"/>
    <n v="-1.76"/>
    <n v="-3.88"/>
    <x v="5"/>
  </r>
  <r>
    <d v="2026-02-01T00:00:00"/>
    <x v="0"/>
    <x v="0"/>
    <n v="45746"/>
    <n v="432"/>
    <n v="1676"/>
    <n v="-1244"/>
    <n v="-2.65"/>
    <n v="-4.58"/>
    <x v="5"/>
  </r>
  <r>
    <d v="2026-03-01T00:00:00"/>
    <x v="0"/>
    <x v="0"/>
    <n v="44810"/>
    <n v="458"/>
    <n v="1394"/>
    <n v="-936"/>
    <n v="-2.0499999999999998"/>
    <n v="-4.8899999999999997"/>
    <x v="5"/>
  </r>
  <r>
    <d v="2026-04-01T00:00:00"/>
    <x v="0"/>
    <x v="0"/>
    <n v="44337"/>
    <n v="491"/>
    <n v="964"/>
    <n v="-473"/>
    <n v="-1.06"/>
    <n v="-5.7"/>
    <x v="5"/>
  </r>
  <r>
    <d v="2026-05-01T00:00:00"/>
    <x v="0"/>
    <x v="0"/>
    <n v="44104"/>
    <n v="454"/>
    <n v="687"/>
    <n v="-233"/>
    <n v="-0.53"/>
    <n v="-6.24"/>
    <x v="5"/>
  </r>
  <r>
    <d v="2026-06-01T00:00:00"/>
    <x v="0"/>
    <x v="0"/>
    <n v="44119"/>
    <n v="450"/>
    <n v="435"/>
    <n v="15"/>
    <n v="0.03"/>
    <n v="-6.45"/>
    <x v="5"/>
  </r>
  <r>
    <d v="2026-07-01T00:00:00"/>
    <x v="0"/>
    <x v="0"/>
    <n v="43791"/>
    <n v="417"/>
    <n v="745"/>
    <n v="-328"/>
    <n v="-0.74"/>
    <n v="-7.46"/>
    <x v="5"/>
  </r>
  <r>
    <d v="2026-08-01T00:00:00"/>
    <x v="0"/>
    <x v="0"/>
    <n v="43504"/>
    <n v="441"/>
    <n v="728"/>
    <n v="-287"/>
    <n v="-0.66"/>
    <n v="-8.5500000000000007"/>
    <x v="5"/>
  </r>
  <r>
    <d v="2026-09-01T00:00:00"/>
    <x v="0"/>
    <x v="0"/>
    <n v="43291"/>
    <n v="442"/>
    <n v="655"/>
    <n v="-213"/>
    <n v="-0.49"/>
    <n v="-8.86"/>
    <x v="5"/>
  </r>
  <r>
    <d v="2021-01-01T00:00:00"/>
    <x v="1"/>
    <x v="1"/>
    <n v="214495"/>
    <n v="6873"/>
    <n v="0"/>
    <m/>
    <m/>
    <m/>
    <x v="0"/>
  </r>
  <r>
    <d v="2021-02-01T00:00:00"/>
    <x v="1"/>
    <x v="1"/>
    <n v="213152"/>
    <n v="2135"/>
    <n v="3478"/>
    <n v="-1343"/>
    <n v="-0.63"/>
    <m/>
    <x v="0"/>
  </r>
  <r>
    <d v="2021-03-01T00:00:00"/>
    <x v="1"/>
    <x v="1"/>
    <n v="215285"/>
    <n v="3264"/>
    <n v="1190"/>
    <n v="2133"/>
    <n v="1"/>
    <m/>
    <x v="0"/>
  </r>
  <r>
    <d v="2021-04-01T00:00:00"/>
    <x v="1"/>
    <x v="1"/>
    <n v="215166"/>
    <n v="2106"/>
    <n v="2225"/>
    <n v="-119"/>
    <n v="-0.06"/>
    <m/>
    <x v="0"/>
  </r>
  <r>
    <d v="2021-05-01T00:00:00"/>
    <x v="1"/>
    <x v="1"/>
    <n v="215426"/>
    <n v="1967"/>
    <n v="1707"/>
    <n v="260"/>
    <n v="0.12"/>
    <m/>
    <x v="0"/>
  </r>
  <r>
    <d v="2021-06-01T00:00:00"/>
    <x v="1"/>
    <x v="1"/>
    <n v="214509"/>
    <n v="2250"/>
    <n v="3167"/>
    <n v="-917"/>
    <n v="-0.43"/>
    <m/>
    <x v="0"/>
  </r>
  <r>
    <d v="2021-07-01T00:00:00"/>
    <x v="1"/>
    <x v="1"/>
    <n v="214763"/>
    <n v="2241"/>
    <n v="1987"/>
    <n v="254"/>
    <n v="0.12"/>
    <m/>
    <x v="0"/>
  </r>
  <r>
    <d v="2021-08-01T00:00:00"/>
    <x v="1"/>
    <x v="1"/>
    <n v="215967"/>
    <n v="2626"/>
    <n v="1588"/>
    <n v="1204"/>
    <n v="0.56000000000000005"/>
    <m/>
    <x v="0"/>
  </r>
  <r>
    <d v="2021-09-01T00:00:00"/>
    <x v="1"/>
    <x v="1"/>
    <n v="216418"/>
    <n v="2341"/>
    <n v="1966"/>
    <n v="451"/>
    <n v="0.21"/>
    <m/>
    <x v="0"/>
  </r>
  <r>
    <d v="2021-10-01T00:00:00"/>
    <x v="1"/>
    <x v="1"/>
    <n v="215446"/>
    <n v="2155"/>
    <n v="3127"/>
    <n v="-972"/>
    <n v="-0.45"/>
    <m/>
    <x v="0"/>
  </r>
  <r>
    <d v="2021-11-01T00:00:00"/>
    <x v="1"/>
    <x v="1"/>
    <n v="214753"/>
    <n v="2110"/>
    <n v="2803"/>
    <n v="-693"/>
    <n v="-0.32"/>
    <m/>
    <x v="0"/>
  </r>
  <r>
    <d v="2021-12-01T00:00:00"/>
    <x v="1"/>
    <x v="1"/>
    <n v="214913"/>
    <n v="2337"/>
    <n v="2177"/>
    <n v="160"/>
    <n v="7.0000000000000007E-2"/>
    <m/>
    <x v="0"/>
  </r>
  <r>
    <d v="2022-01-01T00:00:00"/>
    <x v="1"/>
    <x v="1"/>
    <n v="219119"/>
    <n v="6431"/>
    <n v="2225"/>
    <n v="4206"/>
    <n v="1.96"/>
    <n v="2.16"/>
    <x v="1"/>
  </r>
  <r>
    <d v="2022-02-01T00:00:00"/>
    <x v="1"/>
    <x v="1"/>
    <n v="219366"/>
    <n v="2581"/>
    <n v="2334"/>
    <n v="247"/>
    <n v="0.11"/>
    <n v="2.92"/>
    <x v="1"/>
  </r>
  <r>
    <d v="2022-03-01T00:00:00"/>
    <x v="1"/>
    <x v="1"/>
    <n v="220338"/>
    <n v="2477"/>
    <n v="1505"/>
    <n v="972"/>
    <n v="0.44"/>
    <n v="2.35"/>
    <x v="1"/>
  </r>
  <r>
    <d v="2022-04-01T00:00:00"/>
    <x v="1"/>
    <x v="1"/>
    <n v="220320"/>
    <n v="2833"/>
    <n v="2911"/>
    <n v="-18"/>
    <n v="-0.01"/>
    <n v="2.4"/>
    <x v="1"/>
  </r>
  <r>
    <d v="2022-05-01T00:00:00"/>
    <x v="1"/>
    <x v="1"/>
    <n v="221022"/>
    <n v="2492"/>
    <n v="1790"/>
    <n v="702"/>
    <n v="0.32"/>
    <n v="2.6"/>
    <x v="1"/>
  </r>
  <r>
    <d v="2022-06-01T00:00:00"/>
    <x v="1"/>
    <x v="1"/>
    <n v="221047"/>
    <n v="2297"/>
    <n v="2272"/>
    <n v="25"/>
    <n v="0.01"/>
    <n v="3.05"/>
    <x v="1"/>
  </r>
  <r>
    <d v="2022-07-01T00:00:00"/>
    <x v="1"/>
    <x v="1"/>
    <n v="221726"/>
    <n v="2316"/>
    <n v="1713"/>
    <n v="679"/>
    <n v="0.31"/>
    <n v="3.24"/>
    <x v="1"/>
  </r>
  <r>
    <d v="2022-08-01T00:00:00"/>
    <x v="1"/>
    <x v="1"/>
    <n v="221634"/>
    <n v="2652"/>
    <n v="2744"/>
    <n v="-92"/>
    <n v="-0.04"/>
    <n v="2.62"/>
    <x v="1"/>
  </r>
  <r>
    <d v="2022-09-01T00:00:00"/>
    <x v="1"/>
    <x v="1"/>
    <n v="220621"/>
    <n v="2294"/>
    <n v="3307"/>
    <n v="-1013"/>
    <n v="-0.46"/>
    <n v="1.94"/>
    <x v="1"/>
  </r>
  <r>
    <d v="2022-10-01T00:00:00"/>
    <x v="1"/>
    <x v="1"/>
    <n v="220191"/>
    <n v="2177"/>
    <n v="2607"/>
    <n v="-430"/>
    <n v="-0.19"/>
    <n v="2.2000000000000002"/>
    <x v="1"/>
  </r>
  <r>
    <d v="2022-11-01T00:00:00"/>
    <x v="1"/>
    <x v="1"/>
    <n v="219808"/>
    <n v="2029"/>
    <n v="2412"/>
    <n v="-383"/>
    <n v="-0.17"/>
    <n v="2.35"/>
    <x v="1"/>
  </r>
  <r>
    <d v="2022-12-01T00:00:00"/>
    <x v="1"/>
    <x v="1"/>
    <n v="220544"/>
    <n v="2888"/>
    <n v="2152"/>
    <n v="736"/>
    <n v="0.33"/>
    <n v="2.62"/>
    <x v="1"/>
  </r>
  <r>
    <d v="2023-01-01T00:00:00"/>
    <x v="1"/>
    <x v="1"/>
    <n v="224976"/>
    <n v="6696"/>
    <n v="2264"/>
    <n v="4432"/>
    <n v="2.0099999999999998"/>
    <n v="2.67"/>
    <x v="2"/>
  </r>
  <r>
    <d v="2023-02-01T00:00:00"/>
    <x v="1"/>
    <x v="1"/>
    <n v="225897"/>
    <n v="2516"/>
    <n v="1595"/>
    <n v="921"/>
    <n v="0.41"/>
    <n v="2.98"/>
    <x v="2"/>
  </r>
  <r>
    <d v="2023-03-01T00:00:00"/>
    <x v="1"/>
    <x v="1"/>
    <n v="224725"/>
    <n v="2358"/>
    <n v="3530"/>
    <n v="-1172"/>
    <n v="-0.52"/>
    <n v="1.99"/>
    <x v="2"/>
  </r>
  <r>
    <d v="2023-04-01T00:00:00"/>
    <x v="1"/>
    <x v="1"/>
    <n v="223946"/>
    <n v="2368"/>
    <n v="3147"/>
    <n v="-779"/>
    <n v="-0.35"/>
    <n v="1.65"/>
    <x v="2"/>
  </r>
  <r>
    <d v="2023-05-01T00:00:00"/>
    <x v="1"/>
    <x v="1"/>
    <n v="224650"/>
    <n v="2486"/>
    <n v="1782"/>
    <n v="704"/>
    <n v="0.31"/>
    <n v="1.64"/>
    <x v="2"/>
  </r>
  <r>
    <d v="2023-06-01T00:00:00"/>
    <x v="1"/>
    <x v="1"/>
    <n v="224740"/>
    <n v="2285"/>
    <n v="2195"/>
    <n v="90"/>
    <n v="0.04"/>
    <n v="1.67"/>
    <x v="2"/>
  </r>
  <r>
    <d v="2023-07-01T00:00:00"/>
    <x v="1"/>
    <x v="1"/>
    <n v="224257"/>
    <n v="2353"/>
    <n v="2836"/>
    <n v="-483"/>
    <n v="-0.21"/>
    <n v="1.1399999999999999"/>
    <x v="2"/>
  </r>
  <r>
    <d v="2023-08-01T00:00:00"/>
    <x v="1"/>
    <x v="1"/>
    <n v="225321"/>
    <n v="2372"/>
    <n v="1323"/>
    <n v="1064"/>
    <n v="0.47"/>
    <n v="1.66"/>
    <x v="2"/>
  </r>
  <r>
    <d v="2023-09-01T00:00:00"/>
    <x v="1"/>
    <x v="1"/>
    <n v="226290"/>
    <n v="2757"/>
    <n v="1788"/>
    <n v="969"/>
    <n v="0.43"/>
    <n v="2.57"/>
    <x v="2"/>
  </r>
  <r>
    <d v="2023-10-01T00:00:00"/>
    <x v="1"/>
    <x v="1"/>
    <n v="226180"/>
    <n v="2957"/>
    <n v="3067"/>
    <n v="-110"/>
    <n v="-0.05"/>
    <n v="2.72"/>
    <x v="2"/>
  </r>
  <r>
    <d v="2023-11-01T00:00:00"/>
    <x v="1"/>
    <x v="1"/>
    <n v="226437"/>
    <n v="2339"/>
    <n v="2086"/>
    <n v="257"/>
    <n v="0.11"/>
    <n v="3.02"/>
    <x v="2"/>
  </r>
  <r>
    <d v="2023-12-01T00:00:00"/>
    <x v="1"/>
    <x v="1"/>
    <n v="226197"/>
    <n v="2590"/>
    <n v="2830"/>
    <n v="-240"/>
    <n v="-0.11"/>
    <n v="2.56"/>
    <x v="2"/>
  </r>
  <r>
    <d v="2024-01-01T00:00:00"/>
    <x v="1"/>
    <x v="1"/>
    <n v="230484"/>
    <n v="6106"/>
    <n v="1819"/>
    <n v="4287"/>
    <n v="1.9"/>
    <n v="2.4500000000000002"/>
    <x v="3"/>
  </r>
  <r>
    <d v="2024-02-01T00:00:00"/>
    <x v="1"/>
    <x v="1"/>
    <n v="229328"/>
    <n v="2204"/>
    <n v="3360"/>
    <n v="-1156"/>
    <n v="-0.5"/>
    <n v="1.52"/>
    <x v="3"/>
  </r>
  <r>
    <d v="2024-03-01T00:00:00"/>
    <x v="1"/>
    <x v="1"/>
    <n v="229130"/>
    <n v="2641"/>
    <n v="2839"/>
    <n v="-198"/>
    <n v="-0.09"/>
    <n v="1.96"/>
    <x v="3"/>
  </r>
  <r>
    <d v="2024-04-01T00:00:00"/>
    <x v="1"/>
    <x v="1"/>
    <n v="229686"/>
    <n v="2776"/>
    <n v="2220"/>
    <n v="556"/>
    <n v="0.24"/>
    <n v="2.56"/>
    <x v="3"/>
  </r>
  <r>
    <d v="2024-05-01T00:00:00"/>
    <x v="1"/>
    <x v="1"/>
    <n v="230715"/>
    <n v="3396"/>
    <n v="2367"/>
    <n v="1029"/>
    <n v="0.45"/>
    <n v="2.7"/>
    <x v="3"/>
  </r>
  <r>
    <d v="2024-06-01T00:00:00"/>
    <x v="1"/>
    <x v="1"/>
    <n v="230028"/>
    <n v="2366"/>
    <n v="3053"/>
    <n v="-687"/>
    <n v="-0.3"/>
    <n v="2.35"/>
    <x v="3"/>
  </r>
  <r>
    <d v="2024-07-01T00:00:00"/>
    <x v="1"/>
    <x v="1"/>
    <n v="231106"/>
    <n v="2085"/>
    <n v="1172"/>
    <n v="1078"/>
    <n v="0.47"/>
    <n v="3.05"/>
    <x v="3"/>
  </r>
  <r>
    <d v="2024-08-01T00:00:00"/>
    <x v="1"/>
    <x v="1"/>
    <n v="231464"/>
    <n v="2987"/>
    <n v="2629"/>
    <n v="358"/>
    <n v="0.15"/>
    <n v="2.73"/>
    <x v="3"/>
  </r>
  <r>
    <d v="2024-09-01T00:00:00"/>
    <x v="1"/>
    <x v="1"/>
    <n v="230744"/>
    <n v="2346"/>
    <n v="3066"/>
    <n v="-720"/>
    <n v="-0.31"/>
    <n v="1.97"/>
    <x v="3"/>
  </r>
  <r>
    <d v="2024-10-01T00:00:00"/>
    <x v="1"/>
    <x v="1"/>
    <n v="231299"/>
    <n v="2490"/>
    <n v="1935"/>
    <n v="555"/>
    <n v="0.24"/>
    <n v="2.2599999999999998"/>
    <x v="3"/>
  </r>
  <r>
    <d v="2024-11-01T00:00:00"/>
    <x v="1"/>
    <x v="1"/>
    <n v="230970"/>
    <n v="2354"/>
    <n v="2683"/>
    <n v="-329"/>
    <n v="-0.14000000000000001"/>
    <n v="2"/>
    <x v="3"/>
  </r>
  <r>
    <d v="2024-12-01T00:00:00"/>
    <x v="1"/>
    <x v="1"/>
    <n v="230880"/>
    <n v="2336"/>
    <n v="2426"/>
    <n v="-90"/>
    <n v="-0.04"/>
    <n v="2.0699999999999998"/>
    <x v="3"/>
  </r>
  <r>
    <d v="2025-01-01T00:00:00"/>
    <x v="1"/>
    <x v="1"/>
    <n v="235971"/>
    <n v="7171"/>
    <n v="2080"/>
    <n v="5091"/>
    <n v="2.21"/>
    <n v="2.38"/>
    <x v="4"/>
  </r>
  <r>
    <d v="2025-02-01T00:00:00"/>
    <x v="1"/>
    <x v="1"/>
    <n v="235643"/>
    <n v="2858"/>
    <n v="3186"/>
    <n v="-328"/>
    <n v="-0.14000000000000001"/>
    <n v="2.75"/>
    <x v="4"/>
  </r>
  <r>
    <d v="2025-03-01T00:00:00"/>
    <x v="1"/>
    <x v="1"/>
    <n v="236078"/>
    <n v="2505"/>
    <n v="2070"/>
    <n v="435"/>
    <n v="0.18"/>
    <n v="3.03"/>
    <x v="4"/>
  </r>
  <r>
    <d v="2025-04-01T00:00:00"/>
    <x v="1"/>
    <x v="1"/>
    <n v="235742"/>
    <n v="2155"/>
    <n v="2491"/>
    <n v="-336"/>
    <n v="-0.14000000000000001"/>
    <n v="2.64"/>
    <x v="4"/>
  </r>
  <r>
    <d v="2025-05-01T00:00:00"/>
    <x v="1"/>
    <x v="1"/>
    <n v="236652"/>
    <n v="3001"/>
    <n v="2091"/>
    <n v="910"/>
    <n v="0.39"/>
    <n v="2.57"/>
    <x v="4"/>
  </r>
  <r>
    <d v="2025-06-01T00:00:00"/>
    <x v="1"/>
    <x v="1"/>
    <n v="236162"/>
    <n v="2345"/>
    <n v="2835"/>
    <n v="-490"/>
    <n v="-0.21"/>
    <n v="2.67"/>
    <x v="4"/>
  </r>
  <r>
    <d v="2025-07-01T00:00:00"/>
    <x v="1"/>
    <x v="1"/>
    <n v="237842"/>
    <n v="3086"/>
    <n v="1822"/>
    <n v="1680"/>
    <n v="0.71"/>
    <n v="2.91"/>
    <x v="4"/>
  </r>
  <r>
    <d v="2025-08-01T00:00:00"/>
    <x v="1"/>
    <x v="1"/>
    <n v="237925"/>
    <n v="2794"/>
    <n v="2711"/>
    <n v="83"/>
    <n v="0.03"/>
    <n v="2.79"/>
    <x v="4"/>
  </r>
  <r>
    <d v="2025-09-01T00:00:00"/>
    <x v="1"/>
    <x v="1"/>
    <n v="237996"/>
    <n v="2398"/>
    <n v="2327"/>
    <n v="71"/>
    <n v="0.03"/>
    <n v="3.14"/>
    <x v="4"/>
  </r>
  <r>
    <d v="2025-10-01T00:00:00"/>
    <x v="1"/>
    <x v="1"/>
    <n v="238282"/>
    <n v="2291"/>
    <n v="2068"/>
    <n v="286"/>
    <n v="0.12"/>
    <n v="3.02"/>
    <x v="4"/>
  </r>
  <r>
    <d v="2025-11-01T00:00:00"/>
    <x v="1"/>
    <x v="1"/>
    <n v="237700"/>
    <n v="2538"/>
    <n v="3120"/>
    <n v="-582"/>
    <n v="-0.24"/>
    <n v="2.91"/>
    <x v="4"/>
  </r>
  <r>
    <d v="2025-12-01T00:00:00"/>
    <x v="1"/>
    <x v="1"/>
    <n v="238772"/>
    <n v="3032"/>
    <n v="1960"/>
    <n v="1072"/>
    <n v="0.45"/>
    <n v="3.42"/>
    <x v="4"/>
  </r>
  <r>
    <d v="2026-01-01T00:00:00"/>
    <x v="1"/>
    <x v="1"/>
    <n v="242603"/>
    <n v="6926"/>
    <n v="3095"/>
    <n v="3831"/>
    <n v="1.6"/>
    <n v="2.81"/>
    <x v="5"/>
  </r>
  <r>
    <d v="2026-02-01T00:00:00"/>
    <x v="1"/>
    <x v="1"/>
    <n v="243627"/>
    <n v="2439"/>
    <n v="1415"/>
    <n v="1024"/>
    <n v="0.42"/>
    <n v="3.39"/>
    <x v="5"/>
  </r>
  <r>
    <d v="2026-03-01T00:00:00"/>
    <x v="1"/>
    <x v="1"/>
    <n v="242475"/>
    <n v="2276"/>
    <n v="3428"/>
    <n v="-1152"/>
    <n v="-0.47"/>
    <n v="2.71"/>
    <x v="5"/>
  </r>
  <r>
    <d v="2026-04-01T00:00:00"/>
    <x v="1"/>
    <x v="1"/>
    <n v="242372"/>
    <n v="2503"/>
    <n v="2739"/>
    <n v="-103"/>
    <n v="-0.04"/>
    <n v="2.81"/>
    <x v="5"/>
  </r>
  <r>
    <d v="2026-05-01T00:00:00"/>
    <x v="1"/>
    <x v="1"/>
    <n v="243264"/>
    <n v="2437"/>
    <n v="1817"/>
    <n v="892"/>
    <n v="0.37"/>
    <n v="2.79"/>
    <x v="5"/>
  </r>
  <r>
    <d v="2026-06-01T00:00:00"/>
    <x v="1"/>
    <x v="1"/>
    <n v="243805"/>
    <n v="2975"/>
    <n v="2434"/>
    <n v="541"/>
    <n v="0.22"/>
    <n v="3.24"/>
    <x v="5"/>
  </r>
  <r>
    <d v="2026-07-01T00:00:00"/>
    <x v="1"/>
    <x v="1"/>
    <n v="242503"/>
    <n v="2462"/>
    <n v="3764"/>
    <n v="-1302"/>
    <n v="-0.53"/>
    <n v="1.96"/>
    <x v="5"/>
  </r>
  <r>
    <d v="2026-08-01T00:00:00"/>
    <x v="1"/>
    <x v="1"/>
    <n v="243769"/>
    <n v="2314"/>
    <n v="1048"/>
    <n v="1266"/>
    <n v="0.52"/>
    <n v="2.46"/>
    <x v="5"/>
  </r>
  <r>
    <d v="2026-09-01T00:00:00"/>
    <x v="1"/>
    <x v="1"/>
    <n v="243580"/>
    <n v="2356"/>
    <n v="2613"/>
    <n v="-189"/>
    <n v="-0.08"/>
    <n v="2.35"/>
    <x v="5"/>
  </r>
  <r>
    <d v="2021-01-01T00:00:00"/>
    <x v="2"/>
    <x v="2"/>
    <n v="65592"/>
    <n v="4278"/>
    <n v="0"/>
    <m/>
    <m/>
    <m/>
    <x v="0"/>
  </r>
  <r>
    <d v="2021-02-01T00:00:00"/>
    <x v="2"/>
    <x v="2"/>
    <n v="64805"/>
    <n v="666"/>
    <n v="1453"/>
    <n v="-787"/>
    <n v="-1.2"/>
    <m/>
    <x v="0"/>
  </r>
  <r>
    <d v="2021-03-01T00:00:00"/>
    <x v="2"/>
    <x v="2"/>
    <n v="64146"/>
    <n v="591"/>
    <n v="1250"/>
    <n v="-659"/>
    <n v="-1.02"/>
    <m/>
    <x v="0"/>
  </r>
  <r>
    <d v="2021-04-01T00:00:00"/>
    <x v="2"/>
    <x v="2"/>
    <n v="64314"/>
    <n v="763"/>
    <n v="595"/>
    <n v="168"/>
    <n v="0.26"/>
    <m/>
    <x v="0"/>
  </r>
  <r>
    <d v="2021-05-01T00:00:00"/>
    <x v="2"/>
    <x v="2"/>
    <n v="64616"/>
    <n v="1053"/>
    <n v="751"/>
    <n v="302"/>
    <n v="0.47"/>
    <m/>
    <x v="0"/>
  </r>
  <r>
    <d v="2021-06-01T00:00:00"/>
    <x v="2"/>
    <x v="2"/>
    <n v="65069"/>
    <n v="1010"/>
    <n v="557"/>
    <n v="453"/>
    <n v="0.7"/>
    <m/>
    <x v="0"/>
  </r>
  <r>
    <d v="2021-07-01T00:00:00"/>
    <x v="2"/>
    <x v="2"/>
    <n v="65340"/>
    <n v="996"/>
    <n v="725"/>
    <n v="271"/>
    <n v="0.42"/>
    <m/>
    <x v="0"/>
  </r>
  <r>
    <d v="2021-08-01T00:00:00"/>
    <x v="2"/>
    <x v="2"/>
    <n v="65488"/>
    <n v="825"/>
    <n v="677"/>
    <n v="148"/>
    <n v="0.23"/>
    <m/>
    <x v="0"/>
  </r>
  <r>
    <d v="2021-09-01T00:00:00"/>
    <x v="2"/>
    <x v="2"/>
    <n v="66086"/>
    <n v="1066"/>
    <n v="468"/>
    <n v="598"/>
    <n v="0.91"/>
    <m/>
    <x v="0"/>
  </r>
  <r>
    <d v="2021-10-01T00:00:00"/>
    <x v="2"/>
    <x v="2"/>
    <n v="65822"/>
    <n v="679"/>
    <n v="943"/>
    <n v="-264"/>
    <n v="-0.4"/>
    <m/>
    <x v="0"/>
  </r>
  <r>
    <d v="2021-11-01T00:00:00"/>
    <x v="2"/>
    <x v="2"/>
    <n v="66163"/>
    <n v="1036"/>
    <n v="695"/>
    <n v="341"/>
    <n v="0.52"/>
    <m/>
    <x v="0"/>
  </r>
  <r>
    <d v="2021-12-01T00:00:00"/>
    <x v="2"/>
    <x v="2"/>
    <n v="66079"/>
    <n v="817"/>
    <n v="901"/>
    <n v="-84"/>
    <n v="-0.13"/>
    <m/>
    <x v="0"/>
  </r>
  <r>
    <d v="2022-01-01T00:00:00"/>
    <x v="2"/>
    <x v="2"/>
    <n v="70113"/>
    <n v="4632"/>
    <n v="598"/>
    <n v="4034"/>
    <n v="6.1"/>
    <n v="6.89"/>
    <x v="1"/>
  </r>
  <r>
    <d v="2022-02-01T00:00:00"/>
    <x v="2"/>
    <x v="2"/>
    <n v="69422"/>
    <n v="655"/>
    <n v="1346"/>
    <n v="-691"/>
    <n v="-0.99"/>
    <n v="7.12"/>
    <x v="1"/>
  </r>
  <r>
    <d v="2022-03-01T00:00:00"/>
    <x v="2"/>
    <x v="2"/>
    <n v="68791"/>
    <n v="652"/>
    <n v="1283"/>
    <n v="-631"/>
    <n v="-0.91"/>
    <n v="7.24"/>
    <x v="1"/>
  </r>
  <r>
    <d v="2022-04-01T00:00:00"/>
    <x v="2"/>
    <x v="2"/>
    <n v="68772"/>
    <n v="705"/>
    <n v="724"/>
    <n v="-19"/>
    <n v="-0.03"/>
    <n v="6.93"/>
    <x v="1"/>
  </r>
  <r>
    <d v="2022-05-01T00:00:00"/>
    <x v="2"/>
    <x v="2"/>
    <n v="68860"/>
    <n v="721"/>
    <n v="633"/>
    <n v="88"/>
    <n v="0.13"/>
    <n v="6.57"/>
    <x v="1"/>
  </r>
  <r>
    <d v="2022-06-01T00:00:00"/>
    <x v="2"/>
    <x v="2"/>
    <n v="69414"/>
    <n v="861"/>
    <n v="326"/>
    <n v="554"/>
    <n v="0.8"/>
    <n v="6.68"/>
    <x v="1"/>
  </r>
  <r>
    <d v="2022-07-01T00:00:00"/>
    <x v="2"/>
    <x v="2"/>
    <n v="69948"/>
    <n v="1032"/>
    <n v="507"/>
    <n v="534"/>
    <n v="0.77"/>
    <n v="7.05"/>
    <x v="1"/>
  </r>
  <r>
    <d v="2022-08-01T00:00:00"/>
    <x v="2"/>
    <x v="2"/>
    <n v="69650"/>
    <n v="699"/>
    <n v="997"/>
    <n v="-298"/>
    <n v="-0.43"/>
    <n v="6.36"/>
    <x v="1"/>
  </r>
  <r>
    <d v="2022-09-01T00:00:00"/>
    <x v="2"/>
    <x v="2"/>
    <n v="69590"/>
    <n v="836"/>
    <n v="896"/>
    <n v="-60"/>
    <n v="-0.09"/>
    <n v="5.3"/>
    <x v="1"/>
  </r>
  <r>
    <d v="2022-10-01T00:00:00"/>
    <x v="2"/>
    <x v="2"/>
    <n v="70060"/>
    <n v="790"/>
    <n v="320"/>
    <n v="470"/>
    <n v="0.68"/>
    <n v="6.44"/>
    <x v="1"/>
  </r>
  <r>
    <d v="2022-11-01T00:00:00"/>
    <x v="2"/>
    <x v="2"/>
    <n v="70022"/>
    <n v="863"/>
    <n v="901"/>
    <n v="-38"/>
    <n v="-0.05"/>
    <n v="5.83"/>
    <x v="1"/>
  </r>
  <r>
    <d v="2022-12-01T00:00:00"/>
    <x v="2"/>
    <x v="2"/>
    <n v="70137"/>
    <n v="765"/>
    <n v="660"/>
    <n v="115"/>
    <n v="0.16"/>
    <n v="6.14"/>
    <x v="1"/>
  </r>
  <r>
    <d v="2023-01-01T00:00:00"/>
    <x v="2"/>
    <x v="2"/>
    <n v="74339"/>
    <n v="4972"/>
    <n v="770"/>
    <n v="4202"/>
    <n v="5.99"/>
    <n v="6.03"/>
    <x v="2"/>
  </r>
  <r>
    <d v="2023-02-01T00:00:00"/>
    <x v="2"/>
    <x v="2"/>
    <n v="73955"/>
    <n v="756"/>
    <n v="1140"/>
    <n v="-384"/>
    <n v="-0.52"/>
    <n v="6.53"/>
    <x v="2"/>
  </r>
  <r>
    <d v="2023-03-01T00:00:00"/>
    <x v="2"/>
    <x v="2"/>
    <n v="73195"/>
    <n v="792"/>
    <n v="1552"/>
    <n v="-760"/>
    <n v="-1.03"/>
    <n v="6.4"/>
    <x v="2"/>
  </r>
  <r>
    <d v="2023-04-01T00:00:00"/>
    <x v="2"/>
    <x v="2"/>
    <n v="73506"/>
    <n v="1102"/>
    <n v="791"/>
    <n v="311"/>
    <n v="0.42"/>
    <n v="6.88"/>
    <x v="2"/>
  </r>
  <r>
    <d v="2023-05-01T00:00:00"/>
    <x v="2"/>
    <x v="2"/>
    <n v="73994"/>
    <n v="1253"/>
    <n v="765"/>
    <n v="488"/>
    <n v="0.66"/>
    <n v="7.46"/>
    <x v="2"/>
  </r>
  <r>
    <d v="2023-06-01T00:00:00"/>
    <x v="2"/>
    <x v="2"/>
    <n v="74075"/>
    <n v="845"/>
    <n v="764"/>
    <n v="81"/>
    <n v="0.11"/>
    <n v="6.71"/>
    <x v="2"/>
  </r>
  <r>
    <d v="2023-07-01T00:00:00"/>
    <x v="2"/>
    <x v="2"/>
    <n v="74108"/>
    <n v="763"/>
    <n v="730"/>
    <n v="33"/>
    <n v="0.04"/>
    <n v="5.95"/>
    <x v="2"/>
  </r>
  <r>
    <d v="2023-08-01T00:00:00"/>
    <x v="2"/>
    <x v="2"/>
    <n v="74726"/>
    <n v="1158"/>
    <n v="540"/>
    <n v="618"/>
    <n v="0.83"/>
    <n v="7.29"/>
    <x v="2"/>
  </r>
  <r>
    <d v="2023-09-01T00:00:00"/>
    <x v="2"/>
    <x v="2"/>
    <n v="74612"/>
    <n v="811"/>
    <n v="925"/>
    <n v="-114"/>
    <n v="-0.15"/>
    <n v="7.22"/>
    <x v="2"/>
  </r>
  <r>
    <d v="2023-10-01T00:00:00"/>
    <x v="2"/>
    <x v="2"/>
    <n v="75180"/>
    <n v="1072"/>
    <n v="559"/>
    <n v="568"/>
    <n v="0.76"/>
    <n v="7.31"/>
    <x v="2"/>
  </r>
  <r>
    <d v="2023-11-01T00:00:00"/>
    <x v="2"/>
    <x v="2"/>
    <n v="74967"/>
    <n v="735"/>
    <n v="948"/>
    <n v="-213"/>
    <n v="-0.28000000000000003"/>
    <n v="7.06"/>
    <x v="2"/>
  </r>
  <r>
    <d v="2023-12-01T00:00:00"/>
    <x v="2"/>
    <x v="2"/>
    <n v="75207"/>
    <n v="1052"/>
    <n v="812"/>
    <n v="240"/>
    <n v="0.32"/>
    <n v="7.23"/>
    <x v="2"/>
  </r>
  <r>
    <d v="2024-01-01T00:00:00"/>
    <x v="2"/>
    <x v="2"/>
    <n v="79485"/>
    <n v="4920"/>
    <n v="642"/>
    <n v="4278"/>
    <n v="5.69"/>
    <n v="6.92"/>
    <x v="3"/>
  </r>
  <r>
    <d v="2024-02-01T00:00:00"/>
    <x v="2"/>
    <x v="2"/>
    <n v="78547"/>
    <n v="779"/>
    <n v="1717"/>
    <n v="-938"/>
    <n v="-1.18"/>
    <n v="6.21"/>
    <x v="3"/>
  </r>
  <r>
    <d v="2024-03-01T00:00:00"/>
    <x v="2"/>
    <x v="2"/>
    <n v="78018"/>
    <n v="748"/>
    <n v="1277"/>
    <n v="-529"/>
    <n v="-0.67"/>
    <n v="6.59"/>
    <x v="3"/>
  </r>
  <r>
    <d v="2024-04-01T00:00:00"/>
    <x v="2"/>
    <x v="2"/>
    <n v="77808"/>
    <n v="1045"/>
    <n v="1255"/>
    <n v="-210"/>
    <n v="-0.27"/>
    <n v="5.85"/>
    <x v="3"/>
  </r>
  <r>
    <d v="2024-05-01T00:00:00"/>
    <x v="2"/>
    <x v="2"/>
    <n v="78388"/>
    <n v="1243"/>
    <n v="663"/>
    <n v="580"/>
    <n v="0.75"/>
    <n v="5.94"/>
    <x v="3"/>
  </r>
  <r>
    <d v="2024-06-01T00:00:00"/>
    <x v="2"/>
    <x v="2"/>
    <n v="78619"/>
    <n v="921"/>
    <n v="690"/>
    <n v="231"/>
    <n v="0.28999999999999998"/>
    <n v="6.13"/>
    <x v="3"/>
  </r>
  <r>
    <d v="2024-07-01T00:00:00"/>
    <x v="2"/>
    <x v="2"/>
    <n v="78459"/>
    <n v="781"/>
    <n v="941"/>
    <n v="-160"/>
    <n v="-0.2"/>
    <n v="5.87"/>
    <x v="3"/>
  </r>
  <r>
    <d v="2024-08-01T00:00:00"/>
    <x v="2"/>
    <x v="2"/>
    <n v="78764"/>
    <n v="1103"/>
    <n v="804"/>
    <n v="305"/>
    <n v="0.39"/>
    <n v="5.4"/>
    <x v="3"/>
  </r>
  <r>
    <d v="2024-09-01T00:00:00"/>
    <x v="2"/>
    <x v="2"/>
    <n v="79174"/>
    <n v="1056"/>
    <n v="646"/>
    <n v="410"/>
    <n v="0.52"/>
    <n v="6.11"/>
    <x v="3"/>
  </r>
  <r>
    <d v="2024-10-01T00:00:00"/>
    <x v="2"/>
    <x v="2"/>
    <n v="79048"/>
    <n v="881"/>
    <n v="1007"/>
    <n v="-126"/>
    <n v="-0.16"/>
    <n v="5.14"/>
    <x v="3"/>
  </r>
  <r>
    <d v="2024-11-01T00:00:00"/>
    <x v="2"/>
    <x v="2"/>
    <n v="79232"/>
    <n v="832"/>
    <n v="648"/>
    <n v="184"/>
    <n v="0.23"/>
    <n v="5.69"/>
    <x v="3"/>
  </r>
  <r>
    <d v="2024-12-01T00:00:00"/>
    <x v="2"/>
    <x v="2"/>
    <n v="79654"/>
    <n v="1059"/>
    <n v="637"/>
    <n v="422"/>
    <n v="0.53"/>
    <n v="5.91"/>
    <x v="3"/>
  </r>
  <r>
    <d v="2025-01-01T00:00:00"/>
    <x v="2"/>
    <x v="2"/>
    <n v="84152"/>
    <n v="5419"/>
    <n v="921"/>
    <n v="4498"/>
    <n v="5.65"/>
    <n v="5.87"/>
    <x v="4"/>
  </r>
  <r>
    <d v="2025-02-01T00:00:00"/>
    <x v="2"/>
    <x v="2"/>
    <n v="83197"/>
    <n v="780"/>
    <n v="1735"/>
    <n v="-955"/>
    <n v="-1.1299999999999999"/>
    <n v="5.92"/>
    <x v="4"/>
  </r>
  <r>
    <d v="2025-03-01T00:00:00"/>
    <x v="2"/>
    <x v="2"/>
    <n v="82381"/>
    <n v="836"/>
    <n v="1652"/>
    <n v="-816"/>
    <n v="-0.98"/>
    <n v="5.59"/>
    <x v="4"/>
  </r>
  <r>
    <d v="2025-04-01T00:00:00"/>
    <x v="2"/>
    <x v="2"/>
    <n v="82721"/>
    <n v="1029"/>
    <n v="689"/>
    <n v="340"/>
    <n v="0.41"/>
    <n v="6.31"/>
    <x v="4"/>
  </r>
  <r>
    <d v="2025-05-01T00:00:00"/>
    <x v="2"/>
    <x v="2"/>
    <n v="82803"/>
    <n v="1185"/>
    <n v="1103"/>
    <n v="82"/>
    <n v="0.1"/>
    <n v="5.63"/>
    <x v="4"/>
  </r>
  <r>
    <d v="2025-06-01T00:00:00"/>
    <x v="2"/>
    <x v="2"/>
    <n v="83021"/>
    <n v="911"/>
    <n v="693"/>
    <n v="218"/>
    <n v="0.26"/>
    <n v="5.6"/>
    <x v="4"/>
  </r>
  <r>
    <d v="2025-07-01T00:00:00"/>
    <x v="2"/>
    <x v="2"/>
    <n v="83262"/>
    <n v="1021"/>
    <n v="780"/>
    <n v="241"/>
    <n v="0.28999999999999998"/>
    <n v="6.12"/>
    <x v="4"/>
  </r>
  <r>
    <d v="2025-08-01T00:00:00"/>
    <x v="2"/>
    <x v="2"/>
    <n v="83203"/>
    <n v="1090"/>
    <n v="1149"/>
    <n v="-59"/>
    <n v="-7.0000000000000007E-2"/>
    <n v="5.64"/>
    <x v="4"/>
  </r>
  <r>
    <d v="2025-09-01T00:00:00"/>
    <x v="2"/>
    <x v="2"/>
    <n v="83183"/>
    <n v="914"/>
    <n v="934"/>
    <n v="-20"/>
    <n v="-0.02"/>
    <n v="5.0599999999999996"/>
    <x v="4"/>
  </r>
  <r>
    <d v="2025-10-01T00:00:00"/>
    <x v="2"/>
    <x v="2"/>
    <n v="84050"/>
    <n v="1433"/>
    <n v="609"/>
    <n v="867"/>
    <n v="1.04"/>
    <n v="6.33"/>
    <x v="4"/>
  </r>
  <r>
    <d v="2025-11-01T00:00:00"/>
    <x v="2"/>
    <x v="2"/>
    <n v="84433"/>
    <n v="1164"/>
    <n v="781"/>
    <n v="383"/>
    <n v="0.46"/>
    <n v="6.56"/>
    <x v="4"/>
  </r>
  <r>
    <d v="2025-12-01T00:00:00"/>
    <x v="2"/>
    <x v="2"/>
    <n v="84705"/>
    <n v="1164"/>
    <n v="919"/>
    <n v="272"/>
    <n v="0.32"/>
    <n v="6.34"/>
    <x v="4"/>
  </r>
  <r>
    <d v="2026-01-01T00:00:00"/>
    <x v="2"/>
    <x v="2"/>
    <n v="89385"/>
    <n v="5684"/>
    <n v="1004"/>
    <n v="4680"/>
    <n v="5.53"/>
    <n v="6.22"/>
    <x v="5"/>
  </r>
  <r>
    <d v="2026-02-01T00:00:00"/>
    <x v="2"/>
    <x v="2"/>
    <n v="88500"/>
    <n v="924"/>
    <n v="1809"/>
    <n v="-885"/>
    <n v="-0.99"/>
    <n v="6.37"/>
    <x v="5"/>
  </r>
  <r>
    <d v="2026-03-01T00:00:00"/>
    <x v="2"/>
    <x v="2"/>
    <n v="87269"/>
    <n v="846"/>
    <n v="2077"/>
    <n v="-1231"/>
    <n v="-1.39"/>
    <n v="5.93"/>
    <x v="5"/>
  </r>
  <r>
    <d v="2026-04-01T00:00:00"/>
    <x v="2"/>
    <x v="2"/>
    <n v="87577"/>
    <n v="1023"/>
    <n v="715"/>
    <n v="308"/>
    <n v="0.35"/>
    <n v="5.87"/>
    <x v="5"/>
  </r>
  <r>
    <d v="2026-05-01T00:00:00"/>
    <x v="2"/>
    <x v="2"/>
    <n v="88314"/>
    <n v="1153"/>
    <n v="448"/>
    <n v="737"/>
    <n v="0.84"/>
    <n v="6.66"/>
    <x v="5"/>
  </r>
  <r>
    <d v="2026-06-01T00:00:00"/>
    <x v="2"/>
    <x v="2"/>
    <n v="88301"/>
    <n v="1083"/>
    <n v="1096"/>
    <n v="-13"/>
    <n v="-0.01"/>
    <n v="6.36"/>
    <x v="5"/>
  </r>
  <r>
    <d v="2026-07-01T00:00:00"/>
    <x v="2"/>
    <x v="2"/>
    <n v="88260"/>
    <n v="856"/>
    <n v="897"/>
    <n v="-41"/>
    <n v="-0.05"/>
    <n v="6"/>
    <x v="5"/>
  </r>
  <r>
    <d v="2026-08-01T00:00:00"/>
    <x v="2"/>
    <x v="2"/>
    <n v="88188"/>
    <n v="1270"/>
    <n v="1342"/>
    <n v="-72"/>
    <n v="-0.08"/>
    <n v="5.99"/>
    <x v="5"/>
  </r>
  <r>
    <d v="2026-09-01T00:00:00"/>
    <x v="2"/>
    <x v="2"/>
    <n v="88795"/>
    <n v="1072"/>
    <n v="465"/>
    <n v="607"/>
    <n v="0.69"/>
    <n v="6.75"/>
    <x v="5"/>
  </r>
  <r>
    <d v="2021-01-01T00:00:00"/>
    <x v="3"/>
    <x v="2"/>
    <n v="43759"/>
    <n v="3193"/>
    <n v="0"/>
    <m/>
    <m/>
    <m/>
    <x v="0"/>
  </r>
  <r>
    <d v="2021-02-01T00:00:00"/>
    <x v="3"/>
    <x v="2"/>
    <n v="43282"/>
    <n v="427"/>
    <n v="904"/>
    <n v="-477"/>
    <n v="-1.0900000000000001"/>
    <m/>
    <x v="0"/>
  </r>
  <r>
    <d v="2021-03-01T00:00:00"/>
    <x v="3"/>
    <x v="2"/>
    <n v="42915"/>
    <n v="416"/>
    <n v="783"/>
    <n v="-367"/>
    <n v="-0.85"/>
    <m/>
    <x v="0"/>
  </r>
  <r>
    <d v="2021-04-01T00:00:00"/>
    <x v="3"/>
    <x v="2"/>
    <n v="42879"/>
    <n v="563"/>
    <n v="599"/>
    <n v="-36"/>
    <n v="-0.08"/>
    <m/>
    <x v="0"/>
  </r>
  <r>
    <d v="2021-05-01T00:00:00"/>
    <x v="3"/>
    <x v="2"/>
    <n v="42888"/>
    <n v="524"/>
    <n v="515"/>
    <n v="9"/>
    <n v="0.02"/>
    <m/>
    <x v="0"/>
  </r>
  <r>
    <d v="2021-06-01T00:00:00"/>
    <x v="3"/>
    <x v="2"/>
    <n v="43228"/>
    <n v="628"/>
    <n v="288"/>
    <n v="340"/>
    <n v="0.79"/>
    <m/>
    <x v="0"/>
  </r>
  <r>
    <d v="2021-07-01T00:00:00"/>
    <x v="3"/>
    <x v="2"/>
    <n v="43293"/>
    <n v="611"/>
    <n v="546"/>
    <n v="65"/>
    <n v="0.15"/>
    <m/>
    <x v="0"/>
  </r>
  <r>
    <d v="2021-08-01T00:00:00"/>
    <x v="3"/>
    <x v="2"/>
    <n v="43572"/>
    <n v="639"/>
    <n v="360"/>
    <n v="279"/>
    <n v="0.64"/>
    <m/>
    <x v="0"/>
  </r>
  <r>
    <d v="2021-09-01T00:00:00"/>
    <x v="3"/>
    <x v="2"/>
    <n v="43697"/>
    <n v="680"/>
    <n v="555"/>
    <n v="125"/>
    <n v="0.28999999999999998"/>
    <m/>
    <x v="0"/>
  </r>
  <r>
    <d v="2021-10-01T00:00:00"/>
    <x v="3"/>
    <x v="2"/>
    <n v="44085"/>
    <n v="668"/>
    <n v="280"/>
    <n v="388"/>
    <n v="0.89"/>
    <m/>
    <x v="0"/>
  </r>
  <r>
    <d v="2021-11-01T00:00:00"/>
    <x v="3"/>
    <x v="2"/>
    <n v="44373"/>
    <n v="588"/>
    <n v="300"/>
    <n v="288"/>
    <n v="0.65"/>
    <m/>
    <x v="0"/>
  </r>
  <r>
    <d v="2021-12-01T00:00:00"/>
    <x v="3"/>
    <x v="2"/>
    <n v="44337"/>
    <n v="463"/>
    <n v="499"/>
    <n v="-36"/>
    <n v="-0.08"/>
    <m/>
    <x v="0"/>
  </r>
  <r>
    <d v="2022-01-01T00:00:00"/>
    <x v="3"/>
    <x v="2"/>
    <n v="47167"/>
    <n v="3353"/>
    <n v="523"/>
    <n v="2830"/>
    <n v="6.38"/>
    <n v="7.79"/>
    <x v="1"/>
  </r>
  <r>
    <d v="2022-02-01T00:00:00"/>
    <x v="3"/>
    <x v="2"/>
    <n v="46591"/>
    <n v="451"/>
    <n v="1027"/>
    <n v="-576"/>
    <n v="-1.22"/>
    <n v="7.65"/>
    <x v="1"/>
  </r>
  <r>
    <d v="2022-03-01T00:00:00"/>
    <x v="3"/>
    <x v="2"/>
    <n v="46534"/>
    <n v="470"/>
    <n v="527"/>
    <n v="-57"/>
    <n v="-0.12"/>
    <n v="8.43"/>
    <x v="1"/>
  </r>
  <r>
    <d v="2022-04-01T00:00:00"/>
    <x v="3"/>
    <x v="2"/>
    <n v="46601"/>
    <n v="667"/>
    <n v="600"/>
    <n v="67"/>
    <n v="0.14000000000000001"/>
    <n v="8.68"/>
    <x v="1"/>
  </r>
  <r>
    <d v="2022-05-01T00:00:00"/>
    <x v="3"/>
    <x v="2"/>
    <n v="46974"/>
    <n v="698"/>
    <n v="346"/>
    <n v="373"/>
    <n v="0.8"/>
    <n v="9.5299999999999994"/>
    <x v="1"/>
  </r>
  <r>
    <d v="2022-06-01T00:00:00"/>
    <x v="3"/>
    <x v="2"/>
    <n v="47029"/>
    <n v="539"/>
    <n v="484"/>
    <n v="55"/>
    <n v="0.12"/>
    <n v="8.7899999999999991"/>
    <x v="1"/>
  </r>
  <r>
    <d v="2022-07-01T00:00:00"/>
    <x v="3"/>
    <x v="2"/>
    <n v="47185"/>
    <n v="675"/>
    <n v="519"/>
    <n v="156"/>
    <n v="0.33"/>
    <n v="8.99"/>
    <x v="1"/>
  </r>
  <r>
    <d v="2022-08-01T00:00:00"/>
    <x v="3"/>
    <x v="2"/>
    <n v="47560"/>
    <n v="832"/>
    <n v="457"/>
    <n v="375"/>
    <n v="0.79"/>
    <n v="9.15"/>
    <x v="1"/>
  </r>
  <r>
    <d v="2022-09-01T00:00:00"/>
    <x v="3"/>
    <x v="2"/>
    <n v="47793"/>
    <n v="761"/>
    <n v="528"/>
    <n v="233"/>
    <n v="0.49"/>
    <n v="9.3699999999999992"/>
    <x v="1"/>
  </r>
  <r>
    <d v="2022-10-01T00:00:00"/>
    <x v="3"/>
    <x v="2"/>
    <n v="47892"/>
    <n v="635"/>
    <n v="554"/>
    <n v="99"/>
    <n v="0.21"/>
    <n v="8.64"/>
    <x v="1"/>
  </r>
  <r>
    <d v="2022-11-01T00:00:00"/>
    <x v="3"/>
    <x v="2"/>
    <n v="48300"/>
    <n v="683"/>
    <n v="275"/>
    <n v="408"/>
    <n v="0.85"/>
    <n v="8.85"/>
    <x v="1"/>
  </r>
  <r>
    <d v="2022-12-01T00:00:00"/>
    <x v="3"/>
    <x v="2"/>
    <n v="48564"/>
    <n v="781"/>
    <n v="517"/>
    <n v="264"/>
    <n v="0.55000000000000004"/>
    <n v="9.5299999999999994"/>
    <x v="1"/>
  </r>
  <r>
    <d v="2023-01-01T00:00:00"/>
    <x v="3"/>
    <x v="2"/>
    <n v="51648"/>
    <n v="3689"/>
    <n v="605"/>
    <n v="3084"/>
    <n v="6.35"/>
    <n v="9.5"/>
    <x v="2"/>
  </r>
  <r>
    <d v="2023-02-01T00:00:00"/>
    <x v="3"/>
    <x v="2"/>
    <n v="50911"/>
    <n v="472"/>
    <n v="1209"/>
    <n v="-737"/>
    <n v="-1.43"/>
    <n v="9.27"/>
    <x v="2"/>
  </r>
  <r>
    <d v="2023-03-01T00:00:00"/>
    <x v="3"/>
    <x v="2"/>
    <n v="50705"/>
    <n v="483"/>
    <n v="689"/>
    <n v="-206"/>
    <n v="-0.4"/>
    <n v="8.9600000000000009"/>
    <x v="2"/>
  </r>
  <r>
    <d v="2023-04-01T00:00:00"/>
    <x v="3"/>
    <x v="2"/>
    <n v="50895"/>
    <n v="922"/>
    <n v="732"/>
    <n v="190"/>
    <n v="0.37"/>
    <n v="9.2100000000000009"/>
    <x v="2"/>
  </r>
  <r>
    <d v="2023-05-01T00:00:00"/>
    <x v="3"/>
    <x v="2"/>
    <n v="51066"/>
    <n v="664"/>
    <n v="499"/>
    <n v="171"/>
    <n v="0.34"/>
    <n v="8.7100000000000009"/>
    <x v="2"/>
  </r>
  <r>
    <d v="2023-06-01T00:00:00"/>
    <x v="3"/>
    <x v="2"/>
    <n v="51145"/>
    <n v="624"/>
    <n v="554"/>
    <n v="79"/>
    <n v="0.15"/>
    <n v="8.75"/>
    <x v="2"/>
  </r>
  <r>
    <d v="2023-07-01T00:00:00"/>
    <x v="3"/>
    <x v="2"/>
    <n v="51419"/>
    <n v="644"/>
    <n v="370"/>
    <n v="274"/>
    <n v="0.54"/>
    <n v="8.9700000000000006"/>
    <x v="2"/>
  </r>
  <r>
    <d v="2023-08-01T00:00:00"/>
    <x v="3"/>
    <x v="2"/>
    <n v="51567"/>
    <n v="853"/>
    <n v="705"/>
    <n v="148"/>
    <n v="0.28999999999999998"/>
    <n v="8.43"/>
    <x v="2"/>
  </r>
  <r>
    <d v="2023-09-01T00:00:00"/>
    <x v="3"/>
    <x v="2"/>
    <n v="52379"/>
    <n v="974"/>
    <n v="299"/>
    <n v="812"/>
    <n v="1.57"/>
    <n v="9.6"/>
    <x v="2"/>
  </r>
  <r>
    <d v="2023-10-01T00:00:00"/>
    <x v="3"/>
    <x v="2"/>
    <n v="52444"/>
    <n v="809"/>
    <n v="744"/>
    <n v="65"/>
    <n v="0.12"/>
    <n v="9.5"/>
    <x v="2"/>
  </r>
  <r>
    <d v="2023-11-01T00:00:00"/>
    <x v="3"/>
    <x v="2"/>
    <n v="52772"/>
    <n v="755"/>
    <n v="427"/>
    <n v="328"/>
    <n v="0.63"/>
    <n v="9.26"/>
    <x v="2"/>
  </r>
  <r>
    <d v="2023-12-01T00:00:00"/>
    <x v="3"/>
    <x v="2"/>
    <n v="52815"/>
    <n v="727"/>
    <n v="684"/>
    <n v="43"/>
    <n v="0.08"/>
    <n v="8.75"/>
    <x v="2"/>
  </r>
  <r>
    <d v="2024-01-01T00:00:00"/>
    <x v="3"/>
    <x v="2"/>
    <n v="56622"/>
    <n v="4102"/>
    <n v="358"/>
    <n v="3807"/>
    <n v="7.21"/>
    <n v="9.6300000000000008"/>
    <x v="3"/>
  </r>
  <r>
    <d v="2024-02-01T00:00:00"/>
    <x v="3"/>
    <x v="2"/>
    <n v="55825"/>
    <n v="541"/>
    <n v="1338"/>
    <n v="-797"/>
    <n v="-1.41"/>
    <n v="9.65"/>
    <x v="3"/>
  </r>
  <r>
    <d v="2024-03-01T00:00:00"/>
    <x v="3"/>
    <x v="2"/>
    <n v="55255"/>
    <n v="517"/>
    <n v="1087"/>
    <n v="-570"/>
    <n v="-1.02"/>
    <n v="8.9700000000000006"/>
    <x v="3"/>
  </r>
  <r>
    <d v="2024-04-01T00:00:00"/>
    <x v="3"/>
    <x v="2"/>
    <n v="55470"/>
    <n v="910"/>
    <n v="695"/>
    <n v="215"/>
    <n v="0.39"/>
    <n v="8.99"/>
    <x v="3"/>
  </r>
  <r>
    <d v="2024-05-01T00:00:00"/>
    <x v="3"/>
    <x v="2"/>
    <n v="55725"/>
    <n v="838"/>
    <n v="583"/>
    <n v="255"/>
    <n v="0.46"/>
    <n v="9.1199999999999992"/>
    <x v="3"/>
  </r>
  <r>
    <d v="2024-06-01T00:00:00"/>
    <x v="3"/>
    <x v="2"/>
    <n v="56242"/>
    <n v="879"/>
    <n v="414"/>
    <n v="517"/>
    <n v="0.93"/>
    <n v="9.9700000000000006"/>
    <x v="3"/>
  </r>
  <r>
    <d v="2024-07-01T00:00:00"/>
    <x v="3"/>
    <x v="2"/>
    <n v="56154"/>
    <n v="582"/>
    <n v="670"/>
    <n v="-88"/>
    <n v="-0.16"/>
    <n v="9.2100000000000009"/>
    <x v="3"/>
  </r>
  <r>
    <d v="2024-08-01T00:00:00"/>
    <x v="3"/>
    <x v="2"/>
    <n v="56610"/>
    <n v="1002"/>
    <n v="546"/>
    <n v="456"/>
    <n v="0.81"/>
    <n v="9.7799999999999994"/>
    <x v="3"/>
  </r>
  <r>
    <d v="2024-09-01T00:00:00"/>
    <x v="3"/>
    <x v="2"/>
    <n v="56953"/>
    <n v="791"/>
    <n v="448"/>
    <n v="343"/>
    <n v="0.61"/>
    <n v="8.73"/>
    <x v="3"/>
  </r>
  <r>
    <d v="2024-10-01T00:00:00"/>
    <x v="3"/>
    <x v="2"/>
    <n v="57212"/>
    <n v="799"/>
    <n v="540"/>
    <n v="259"/>
    <n v="0.45"/>
    <n v="9.09"/>
    <x v="3"/>
  </r>
  <r>
    <d v="2024-11-01T00:00:00"/>
    <x v="3"/>
    <x v="2"/>
    <n v="57266"/>
    <n v="860"/>
    <n v="806"/>
    <n v="54"/>
    <n v="0.09"/>
    <n v="8.52"/>
    <x v="3"/>
  </r>
  <r>
    <d v="2024-12-01T00:00:00"/>
    <x v="3"/>
    <x v="2"/>
    <n v="57489"/>
    <n v="719"/>
    <n v="521"/>
    <n v="223"/>
    <n v="0.39"/>
    <n v="8.85"/>
    <x v="3"/>
  </r>
  <r>
    <d v="2025-01-01T00:00:00"/>
    <x v="3"/>
    <x v="2"/>
    <n v="61578"/>
    <n v="4285"/>
    <n v="219"/>
    <n v="4089"/>
    <n v="7.11"/>
    <n v="8.75"/>
    <x v="4"/>
  </r>
  <r>
    <d v="2025-02-01T00:00:00"/>
    <x v="3"/>
    <x v="2"/>
    <n v="60648"/>
    <n v="617"/>
    <n v="1547"/>
    <n v="-930"/>
    <n v="-1.51"/>
    <n v="8.64"/>
    <x v="4"/>
  </r>
  <r>
    <d v="2025-03-01T00:00:00"/>
    <x v="3"/>
    <x v="2"/>
    <n v="60085"/>
    <n v="604"/>
    <n v="1167"/>
    <n v="-563"/>
    <n v="-0.93"/>
    <n v="8.74"/>
    <x v="4"/>
  </r>
  <r>
    <d v="2025-04-01T00:00:00"/>
    <x v="3"/>
    <x v="2"/>
    <n v="60444"/>
    <n v="895"/>
    <n v="536"/>
    <n v="359"/>
    <n v="0.6"/>
    <n v="8.9700000000000006"/>
    <x v="4"/>
  </r>
  <r>
    <d v="2025-05-01T00:00:00"/>
    <x v="3"/>
    <x v="2"/>
    <n v="60441"/>
    <n v="734"/>
    <n v="737"/>
    <n v="-3"/>
    <n v="0"/>
    <n v="8.4600000000000009"/>
    <x v="4"/>
  </r>
  <r>
    <d v="2025-06-01T00:00:00"/>
    <x v="3"/>
    <x v="2"/>
    <n v="61083"/>
    <n v="1117"/>
    <n v="489"/>
    <n v="642"/>
    <n v="1.06"/>
    <n v="8.61"/>
    <x v="4"/>
  </r>
  <r>
    <d v="2025-07-01T00:00:00"/>
    <x v="3"/>
    <x v="2"/>
    <n v="61135"/>
    <n v="710"/>
    <n v="661"/>
    <n v="52"/>
    <n v="0.09"/>
    <n v="8.8699999999999992"/>
    <x v="4"/>
  </r>
  <r>
    <d v="2025-08-01T00:00:00"/>
    <x v="3"/>
    <x v="2"/>
    <n v="61240"/>
    <n v="761"/>
    <n v="682"/>
    <n v="105"/>
    <n v="0.17"/>
    <n v="8.18"/>
    <x v="4"/>
  </r>
  <r>
    <d v="2025-09-01T00:00:00"/>
    <x v="3"/>
    <x v="2"/>
    <n v="61419"/>
    <n v="894"/>
    <n v="715"/>
    <n v="179"/>
    <n v="0.28999999999999998"/>
    <n v="7.84"/>
    <x v="4"/>
  </r>
  <r>
    <d v="2025-10-01T00:00:00"/>
    <x v="3"/>
    <x v="2"/>
    <n v="61816"/>
    <n v="933"/>
    <n v="536"/>
    <n v="397"/>
    <n v="0.65"/>
    <n v="8.0500000000000007"/>
    <x v="4"/>
  </r>
  <r>
    <d v="2025-11-01T00:00:00"/>
    <x v="3"/>
    <x v="2"/>
    <n v="62195"/>
    <n v="1121"/>
    <n v="742"/>
    <n v="379"/>
    <n v="0.61"/>
    <n v="8.61"/>
    <x v="4"/>
  </r>
  <r>
    <d v="2025-12-01T00:00:00"/>
    <x v="3"/>
    <x v="2"/>
    <n v="62730"/>
    <n v="641"/>
    <n v="316"/>
    <n v="535"/>
    <n v="0.86"/>
    <n v="9.1199999999999992"/>
    <x v="4"/>
  </r>
  <r>
    <d v="2026-01-01T00:00:00"/>
    <x v="3"/>
    <x v="2"/>
    <n v="67515"/>
    <n v="5992"/>
    <n v="1208"/>
    <n v="4785"/>
    <n v="7.63"/>
    <n v="9.64"/>
    <x v="5"/>
  </r>
  <r>
    <d v="2026-02-01T00:00:00"/>
    <x v="3"/>
    <x v="2"/>
    <n v="67011"/>
    <n v="693"/>
    <n v="1197"/>
    <n v="-504"/>
    <n v="-0.75"/>
    <n v="10.49"/>
    <x v="5"/>
  </r>
  <r>
    <d v="2026-03-01T00:00:00"/>
    <x v="3"/>
    <x v="2"/>
    <n v="66499"/>
    <n v="658"/>
    <n v="1170"/>
    <n v="-512"/>
    <n v="-0.76"/>
    <n v="10.67"/>
    <x v="5"/>
  </r>
  <r>
    <d v="2026-04-01T00:00:00"/>
    <x v="3"/>
    <x v="2"/>
    <n v="66510"/>
    <n v="1004"/>
    <n v="993"/>
    <n v="11"/>
    <n v="0.02"/>
    <n v="10.039999999999999"/>
    <x v="5"/>
  </r>
  <r>
    <d v="2026-05-01T00:00:00"/>
    <x v="3"/>
    <x v="2"/>
    <n v="67069"/>
    <n v="985"/>
    <n v="426"/>
    <n v="559"/>
    <n v="0.84"/>
    <n v="10.97"/>
    <x v="5"/>
  </r>
  <r>
    <d v="2026-06-01T00:00:00"/>
    <x v="3"/>
    <x v="2"/>
    <n v="67476"/>
    <n v="1326"/>
    <n v="983"/>
    <n v="407"/>
    <n v="0.61"/>
    <n v="10.47"/>
    <x v="5"/>
  </r>
  <r>
    <d v="2026-07-01T00:00:00"/>
    <x v="3"/>
    <x v="2"/>
    <n v="68204"/>
    <n v="1438"/>
    <n v="732"/>
    <n v="728"/>
    <n v="1.08"/>
    <n v="11.56"/>
    <x v="5"/>
  </r>
  <r>
    <d v="2026-08-01T00:00:00"/>
    <x v="3"/>
    <x v="2"/>
    <n v="68761"/>
    <n v="1089"/>
    <n v="590"/>
    <n v="557"/>
    <n v="0.82"/>
    <n v="12.28"/>
    <x v="5"/>
  </r>
  <r>
    <d v="2026-09-01T00:00:00"/>
    <x v="3"/>
    <x v="2"/>
    <n v="69091"/>
    <n v="1165"/>
    <n v="835"/>
    <n v="330"/>
    <n v="0.48"/>
    <n v="12.49"/>
    <x v="5"/>
  </r>
  <r>
    <d v="2021-01-01T00:00:00"/>
    <x v="4"/>
    <x v="3"/>
    <n v="29005"/>
    <n v="1193"/>
    <n v="0"/>
    <m/>
    <m/>
    <m/>
    <x v="0"/>
  </r>
  <r>
    <d v="2021-02-01T00:00:00"/>
    <x v="4"/>
    <x v="3"/>
    <n v="28667"/>
    <n v="272"/>
    <n v="610"/>
    <n v="-338"/>
    <n v="-1.17"/>
    <m/>
    <x v="0"/>
  </r>
  <r>
    <d v="2021-03-01T00:00:00"/>
    <x v="4"/>
    <x v="3"/>
    <n v="28465"/>
    <n v="290"/>
    <n v="492"/>
    <n v="-202"/>
    <n v="-0.7"/>
    <m/>
    <x v="0"/>
  </r>
  <r>
    <d v="2021-04-01T00:00:00"/>
    <x v="4"/>
    <x v="3"/>
    <n v="28252"/>
    <n v="273"/>
    <n v="486"/>
    <n v="-213"/>
    <n v="-0.75"/>
    <m/>
    <x v="0"/>
  </r>
  <r>
    <d v="2021-05-01T00:00:00"/>
    <x v="4"/>
    <x v="3"/>
    <n v="28190"/>
    <n v="284"/>
    <n v="346"/>
    <n v="-62"/>
    <n v="-0.22"/>
    <m/>
    <x v="0"/>
  </r>
  <r>
    <d v="2021-06-01T00:00:00"/>
    <x v="4"/>
    <x v="3"/>
    <n v="28248"/>
    <n v="328"/>
    <n v="273"/>
    <n v="58"/>
    <n v="0.21"/>
    <m/>
    <x v="0"/>
  </r>
  <r>
    <d v="2021-07-01T00:00:00"/>
    <x v="4"/>
    <x v="3"/>
    <n v="28185"/>
    <n v="263"/>
    <n v="326"/>
    <n v="-63"/>
    <n v="-0.22"/>
    <m/>
    <x v="0"/>
  </r>
  <r>
    <d v="2021-08-01T00:00:00"/>
    <x v="4"/>
    <x v="3"/>
    <n v="28113"/>
    <n v="285"/>
    <n v="357"/>
    <n v="-72"/>
    <n v="-0.26"/>
    <m/>
    <x v="0"/>
  </r>
  <r>
    <d v="2021-09-01T00:00:00"/>
    <x v="4"/>
    <x v="3"/>
    <n v="28097"/>
    <n v="299"/>
    <n v="315"/>
    <n v="-16"/>
    <n v="-0.06"/>
    <m/>
    <x v="0"/>
  </r>
  <r>
    <d v="2021-10-01T00:00:00"/>
    <x v="4"/>
    <x v="3"/>
    <n v="28001"/>
    <n v="266"/>
    <n v="362"/>
    <n v="-96"/>
    <n v="-0.34"/>
    <m/>
    <x v="0"/>
  </r>
  <r>
    <d v="2021-11-01T00:00:00"/>
    <x v="4"/>
    <x v="3"/>
    <n v="27967"/>
    <n v="305"/>
    <n v="339"/>
    <n v="-34"/>
    <n v="-0.12"/>
    <m/>
    <x v="0"/>
  </r>
  <r>
    <d v="2021-12-01T00:00:00"/>
    <x v="4"/>
    <x v="3"/>
    <n v="28023"/>
    <n v="264"/>
    <n v="208"/>
    <n v="56"/>
    <n v="0.2"/>
    <m/>
    <x v="0"/>
  </r>
  <r>
    <d v="2022-01-01T00:00:00"/>
    <x v="4"/>
    <x v="3"/>
    <n v="28860"/>
    <n v="1104"/>
    <n v="267"/>
    <n v="837"/>
    <n v="2.99"/>
    <n v="-0.5"/>
    <x v="1"/>
  </r>
  <r>
    <d v="2022-02-01T00:00:00"/>
    <x v="4"/>
    <x v="3"/>
    <n v="28587"/>
    <n v="297"/>
    <n v="570"/>
    <n v="-273"/>
    <n v="-0.95"/>
    <n v="-0.28000000000000003"/>
    <x v="1"/>
  </r>
  <r>
    <d v="2022-03-01T00:00:00"/>
    <x v="4"/>
    <x v="3"/>
    <n v="28269"/>
    <n v="283"/>
    <n v="601"/>
    <n v="-318"/>
    <n v="-1.1100000000000001"/>
    <n v="-0.69"/>
    <x v="1"/>
  </r>
  <r>
    <d v="2022-04-01T00:00:00"/>
    <x v="4"/>
    <x v="3"/>
    <n v="28114"/>
    <n v="259"/>
    <n v="414"/>
    <n v="-155"/>
    <n v="-0.55000000000000004"/>
    <n v="-0.49"/>
    <x v="1"/>
  </r>
  <r>
    <d v="2022-05-01T00:00:00"/>
    <x v="4"/>
    <x v="3"/>
    <n v="28113"/>
    <n v="288"/>
    <n v="289"/>
    <n v="-1"/>
    <n v="0"/>
    <n v="-0.27"/>
    <x v="1"/>
  </r>
  <r>
    <d v="2022-06-01T00:00:00"/>
    <x v="4"/>
    <x v="3"/>
    <n v="28114"/>
    <n v="271"/>
    <n v="270"/>
    <n v="1"/>
    <n v="0"/>
    <n v="-0.47"/>
    <x v="1"/>
  </r>
  <r>
    <d v="2022-07-01T00:00:00"/>
    <x v="4"/>
    <x v="3"/>
    <n v="28040"/>
    <n v="289"/>
    <n v="363"/>
    <n v="-74"/>
    <n v="-0.26"/>
    <n v="-0.51"/>
    <x v="1"/>
  </r>
  <r>
    <d v="2022-08-01T00:00:00"/>
    <x v="4"/>
    <x v="3"/>
    <n v="28142"/>
    <n v="264"/>
    <n v="162"/>
    <n v="102"/>
    <n v="0.36"/>
    <n v="0.1"/>
    <x v="1"/>
  </r>
  <r>
    <d v="2022-09-01T00:00:00"/>
    <x v="4"/>
    <x v="3"/>
    <n v="28093"/>
    <n v="260"/>
    <n v="309"/>
    <n v="-49"/>
    <n v="-0.17"/>
    <n v="-0.01"/>
    <x v="1"/>
  </r>
  <r>
    <d v="2022-10-01T00:00:00"/>
    <x v="4"/>
    <x v="3"/>
    <n v="28067"/>
    <n v="321"/>
    <n v="347"/>
    <n v="-26"/>
    <n v="-0.09"/>
    <n v="0.24"/>
    <x v="1"/>
  </r>
  <r>
    <d v="2022-11-01T00:00:00"/>
    <x v="4"/>
    <x v="3"/>
    <n v="28092"/>
    <n v="273"/>
    <n v="248"/>
    <n v="25"/>
    <n v="0.09"/>
    <n v="0.45"/>
    <x v="1"/>
  </r>
  <r>
    <d v="2022-12-01T00:00:00"/>
    <x v="4"/>
    <x v="3"/>
    <n v="27892"/>
    <n v="272"/>
    <n v="472"/>
    <n v="-200"/>
    <n v="-0.71"/>
    <n v="-0.47"/>
    <x v="1"/>
  </r>
  <r>
    <d v="2023-01-01T00:00:00"/>
    <x v="4"/>
    <x v="3"/>
    <n v="28802"/>
    <n v="1110"/>
    <n v="208"/>
    <n v="910"/>
    <n v="3.26"/>
    <n v="-0.2"/>
    <x v="2"/>
  </r>
  <r>
    <d v="2023-02-01T00:00:00"/>
    <x v="4"/>
    <x v="3"/>
    <n v="28640"/>
    <n v="288"/>
    <n v="450"/>
    <n v="-162"/>
    <n v="-0.56000000000000005"/>
    <n v="0.19"/>
    <x v="2"/>
  </r>
  <r>
    <d v="2023-03-01T00:00:00"/>
    <x v="4"/>
    <x v="3"/>
    <n v="28188"/>
    <n v="304"/>
    <n v="756"/>
    <n v="-452"/>
    <n v="-1.58"/>
    <n v="-0.28999999999999998"/>
    <x v="2"/>
  </r>
  <r>
    <d v="2023-04-01T00:00:00"/>
    <x v="4"/>
    <x v="3"/>
    <n v="28147"/>
    <n v="301"/>
    <n v="352"/>
    <n v="-41"/>
    <n v="-0.15"/>
    <n v="0.12"/>
    <x v="2"/>
  </r>
  <r>
    <d v="2023-05-01T00:00:00"/>
    <x v="4"/>
    <x v="3"/>
    <n v="28144"/>
    <n v="318"/>
    <n v="321"/>
    <n v="-3"/>
    <n v="-0.01"/>
    <n v="0.11"/>
    <x v="2"/>
  </r>
  <r>
    <d v="2023-06-01T00:00:00"/>
    <x v="4"/>
    <x v="3"/>
    <n v="28100"/>
    <n v="289"/>
    <n v="333"/>
    <n v="-44"/>
    <n v="-0.16"/>
    <n v="-0.05"/>
    <x v="2"/>
  </r>
  <r>
    <d v="2023-07-01T00:00:00"/>
    <x v="4"/>
    <x v="3"/>
    <n v="28074"/>
    <n v="290"/>
    <n v="316"/>
    <n v="-26"/>
    <n v="-0.09"/>
    <n v="0.12"/>
    <x v="2"/>
  </r>
  <r>
    <d v="2023-08-01T00:00:00"/>
    <x v="4"/>
    <x v="3"/>
    <n v="28103"/>
    <n v="253"/>
    <n v="224"/>
    <n v="29"/>
    <n v="0.1"/>
    <n v="-0.14000000000000001"/>
    <x v="2"/>
  </r>
  <r>
    <d v="2023-09-01T00:00:00"/>
    <x v="4"/>
    <x v="3"/>
    <n v="28142"/>
    <n v="311"/>
    <n v="272"/>
    <n v="39"/>
    <n v="0.14000000000000001"/>
    <n v="0.17"/>
    <x v="2"/>
  </r>
  <r>
    <d v="2023-10-01T00:00:00"/>
    <x v="4"/>
    <x v="3"/>
    <n v="28166"/>
    <n v="379"/>
    <n v="355"/>
    <n v="24"/>
    <n v="0.09"/>
    <n v="0.35"/>
    <x v="2"/>
  </r>
  <r>
    <d v="2023-11-01T00:00:00"/>
    <x v="4"/>
    <x v="3"/>
    <n v="28216"/>
    <n v="304"/>
    <n v="254"/>
    <n v="50"/>
    <n v="0.18"/>
    <n v="0.44"/>
    <x v="2"/>
  </r>
  <r>
    <d v="2023-12-01T00:00:00"/>
    <x v="4"/>
    <x v="3"/>
    <n v="28031"/>
    <n v="295"/>
    <n v="480"/>
    <n v="-185"/>
    <n v="-0.66"/>
    <n v="0.5"/>
    <x v="2"/>
  </r>
  <r>
    <d v="2024-01-01T00:00:00"/>
    <x v="4"/>
    <x v="3"/>
    <n v="28975"/>
    <n v="1164"/>
    <n v="220"/>
    <n v="944"/>
    <n v="3.37"/>
    <n v="0.6"/>
    <x v="3"/>
  </r>
  <r>
    <d v="2024-02-01T00:00:00"/>
    <x v="4"/>
    <x v="3"/>
    <n v="28764"/>
    <n v="266"/>
    <n v="477"/>
    <n v="-211"/>
    <n v="-0.73"/>
    <n v="0.43"/>
    <x v="3"/>
  </r>
  <r>
    <d v="2024-03-01T00:00:00"/>
    <x v="4"/>
    <x v="3"/>
    <n v="28564"/>
    <n v="291"/>
    <n v="491"/>
    <n v="-200"/>
    <n v="-0.7"/>
    <n v="1.33"/>
    <x v="3"/>
  </r>
  <r>
    <d v="2024-04-01T00:00:00"/>
    <x v="4"/>
    <x v="3"/>
    <n v="28378"/>
    <n v="303"/>
    <n v="489"/>
    <n v="-186"/>
    <n v="-0.65"/>
    <n v="0.82"/>
    <x v="3"/>
  </r>
  <r>
    <d v="2024-05-01T00:00:00"/>
    <x v="4"/>
    <x v="3"/>
    <n v="28270"/>
    <n v="281"/>
    <n v="389"/>
    <n v="-108"/>
    <n v="-0.38"/>
    <n v="0.45"/>
    <x v="3"/>
  </r>
  <r>
    <d v="2024-06-01T00:00:00"/>
    <x v="4"/>
    <x v="3"/>
    <n v="28329"/>
    <n v="259"/>
    <n v="200"/>
    <n v="59"/>
    <n v="0.21"/>
    <n v="0.81"/>
    <x v="3"/>
  </r>
  <r>
    <d v="2024-07-01T00:00:00"/>
    <x v="4"/>
    <x v="3"/>
    <n v="28221"/>
    <n v="281"/>
    <n v="389"/>
    <n v="-108"/>
    <n v="-0.38"/>
    <n v="0.52"/>
    <x v="3"/>
  </r>
  <r>
    <d v="2024-08-01T00:00:00"/>
    <x v="4"/>
    <x v="3"/>
    <n v="28243"/>
    <n v="302"/>
    <n v="280"/>
    <n v="22"/>
    <n v="0.08"/>
    <n v="0.5"/>
    <x v="3"/>
  </r>
  <r>
    <d v="2024-09-01T00:00:00"/>
    <x v="4"/>
    <x v="3"/>
    <n v="28276"/>
    <n v="246"/>
    <n v="213"/>
    <n v="33"/>
    <n v="0.12"/>
    <n v="0.48"/>
    <x v="3"/>
  </r>
  <r>
    <d v="2024-10-01T00:00:00"/>
    <x v="4"/>
    <x v="3"/>
    <n v="28116"/>
    <n v="264"/>
    <n v="424"/>
    <n v="-160"/>
    <n v="-0.56999999999999995"/>
    <n v="-0.18"/>
    <x v="3"/>
  </r>
  <r>
    <d v="2024-11-01T00:00:00"/>
    <x v="4"/>
    <x v="3"/>
    <n v="28106"/>
    <n v="253"/>
    <n v="263"/>
    <n v="-10"/>
    <n v="-0.04"/>
    <n v="-0.39"/>
    <x v="3"/>
  </r>
  <r>
    <d v="2024-12-01T00:00:00"/>
    <x v="4"/>
    <x v="3"/>
    <n v="28214"/>
    <n v="301"/>
    <n v="202"/>
    <n v="108"/>
    <n v="0.38"/>
    <n v="0.65"/>
    <x v="3"/>
  </r>
  <r>
    <d v="2025-01-01T00:00:00"/>
    <x v="4"/>
    <x v="3"/>
    <n v="29006"/>
    <n v="1093"/>
    <n v="312"/>
    <n v="792"/>
    <n v="2.81"/>
    <n v="0.11"/>
    <x v="4"/>
  </r>
  <r>
    <d v="2025-02-01T00:00:00"/>
    <x v="4"/>
    <x v="3"/>
    <n v="28746"/>
    <n v="275"/>
    <n v="535"/>
    <n v="-260"/>
    <n v="-0.9"/>
    <n v="-0.06"/>
    <x v="4"/>
  </r>
  <r>
    <d v="2025-03-01T00:00:00"/>
    <x v="4"/>
    <x v="3"/>
    <n v="28735"/>
    <n v="303"/>
    <n v="314"/>
    <n v="-11"/>
    <n v="-0.04"/>
    <n v="0.6"/>
    <x v="4"/>
  </r>
  <r>
    <d v="2025-04-01T00:00:00"/>
    <x v="4"/>
    <x v="3"/>
    <n v="28533"/>
    <n v="290"/>
    <n v="492"/>
    <n v="-202"/>
    <n v="-0.7"/>
    <n v="0.55000000000000004"/>
    <x v="4"/>
  </r>
  <r>
    <d v="2025-05-01T00:00:00"/>
    <x v="4"/>
    <x v="3"/>
    <n v="28467"/>
    <n v="274"/>
    <n v="340"/>
    <n v="-66"/>
    <n v="-0.23"/>
    <n v="0.7"/>
    <x v="4"/>
  </r>
  <r>
    <d v="2025-06-01T00:00:00"/>
    <x v="4"/>
    <x v="3"/>
    <n v="28697"/>
    <n v="347"/>
    <n v="161"/>
    <n v="230"/>
    <n v="0.81"/>
    <n v="1.3"/>
    <x v="4"/>
  </r>
  <r>
    <d v="2025-07-01T00:00:00"/>
    <x v="4"/>
    <x v="3"/>
    <n v="28559"/>
    <n v="271"/>
    <n v="409"/>
    <n v="-138"/>
    <n v="-0.48"/>
    <n v="1.2"/>
    <x v="4"/>
  </r>
  <r>
    <d v="2025-08-01T00:00:00"/>
    <x v="4"/>
    <x v="3"/>
    <n v="28388"/>
    <n v="298"/>
    <n v="469"/>
    <n v="-171"/>
    <n v="-0.6"/>
    <n v="0.51"/>
    <x v="4"/>
  </r>
  <r>
    <d v="2025-09-01T00:00:00"/>
    <x v="4"/>
    <x v="3"/>
    <n v="28479"/>
    <n v="278"/>
    <n v="187"/>
    <n v="91"/>
    <n v="0.32"/>
    <n v="0.72"/>
    <x v="4"/>
  </r>
  <r>
    <d v="2025-10-01T00:00:00"/>
    <x v="4"/>
    <x v="3"/>
    <n v="28369"/>
    <n v="275"/>
    <n v="385"/>
    <n v="-110"/>
    <n v="-0.39"/>
    <n v="0.9"/>
    <x v="4"/>
  </r>
  <r>
    <d v="2025-11-01T00:00:00"/>
    <x v="4"/>
    <x v="3"/>
    <n v="28354"/>
    <n v="313"/>
    <n v="328"/>
    <n v="-15"/>
    <n v="-0.05"/>
    <n v="0.88"/>
    <x v="4"/>
  </r>
  <r>
    <d v="2025-12-01T00:00:00"/>
    <x v="4"/>
    <x v="3"/>
    <n v="28306"/>
    <n v="285"/>
    <n v="333"/>
    <n v="-48"/>
    <n v="-0.17"/>
    <n v="0.33"/>
    <x v="4"/>
  </r>
  <r>
    <d v="2026-01-01T00:00:00"/>
    <x v="4"/>
    <x v="3"/>
    <n v="29213"/>
    <n v="1131"/>
    <n v="224"/>
    <n v="907"/>
    <n v="3.2"/>
    <n v="0.71"/>
    <x v="5"/>
  </r>
  <r>
    <d v="2026-02-01T00:00:00"/>
    <x v="4"/>
    <x v="3"/>
    <n v="28851"/>
    <n v="272"/>
    <n v="634"/>
    <n v="-362"/>
    <n v="-1.24"/>
    <n v="0.37"/>
    <x v="5"/>
  </r>
  <r>
    <d v="2026-03-01T00:00:00"/>
    <x v="4"/>
    <x v="3"/>
    <n v="28560"/>
    <n v="273"/>
    <n v="564"/>
    <n v="-291"/>
    <n v="-1.01"/>
    <n v="-0.61"/>
    <x v="5"/>
  </r>
  <r>
    <d v="2026-04-01T00:00:00"/>
    <x v="4"/>
    <x v="3"/>
    <n v="28547"/>
    <n v="279"/>
    <n v="292"/>
    <n v="-13"/>
    <n v="-0.05"/>
    <n v="0.05"/>
    <x v="5"/>
  </r>
  <r>
    <d v="2026-05-01T00:00:00"/>
    <x v="4"/>
    <x v="3"/>
    <n v="28419"/>
    <n v="323"/>
    <n v="451"/>
    <n v="-128"/>
    <n v="-0.45"/>
    <n v="-0.17"/>
    <x v="5"/>
  </r>
  <r>
    <d v="2026-06-01T00:00:00"/>
    <x v="4"/>
    <x v="3"/>
    <n v="28290"/>
    <n v="274"/>
    <n v="403"/>
    <n v="-129"/>
    <n v="-0.45"/>
    <n v="-1.42"/>
    <x v="5"/>
  </r>
  <r>
    <d v="2026-07-01T00:00:00"/>
    <x v="4"/>
    <x v="3"/>
    <n v="28428"/>
    <n v="381"/>
    <n v="258"/>
    <n v="138"/>
    <n v="0.49"/>
    <n v="-0.46"/>
    <x v="5"/>
  </r>
  <r>
    <d v="2026-08-01T00:00:00"/>
    <x v="4"/>
    <x v="3"/>
    <n v="28247"/>
    <n v="282"/>
    <n v="463"/>
    <n v="-181"/>
    <n v="-0.64"/>
    <n v="-0.5"/>
    <x v="5"/>
  </r>
  <r>
    <d v="2026-09-01T00:00:00"/>
    <x v="4"/>
    <x v="3"/>
    <n v="28476"/>
    <n v="378"/>
    <n v="154"/>
    <n v="229"/>
    <n v="0.81"/>
    <n v="-0.01"/>
    <x v="5"/>
  </r>
  <r>
    <d v="2021-01-01T00:00:00"/>
    <x v="5"/>
    <x v="1"/>
    <n v="54777"/>
    <n v="1300"/>
    <n v="0"/>
    <m/>
    <m/>
    <m/>
    <x v="0"/>
  </r>
  <r>
    <d v="2021-02-01T00:00:00"/>
    <x v="5"/>
    <x v="1"/>
    <n v="54859"/>
    <n v="619"/>
    <n v="537"/>
    <n v="82"/>
    <n v="0.15"/>
    <m/>
    <x v="0"/>
  </r>
  <r>
    <d v="2021-03-01T00:00:00"/>
    <x v="5"/>
    <x v="1"/>
    <n v="54893"/>
    <n v="563"/>
    <n v="529"/>
    <n v="34"/>
    <n v="0.06"/>
    <m/>
    <x v="0"/>
  </r>
  <r>
    <d v="2021-04-01T00:00:00"/>
    <x v="5"/>
    <x v="1"/>
    <n v="54551"/>
    <n v="559"/>
    <n v="901"/>
    <n v="-342"/>
    <n v="-0.62"/>
    <m/>
    <x v="0"/>
  </r>
  <r>
    <d v="2021-05-01T00:00:00"/>
    <x v="5"/>
    <x v="1"/>
    <n v="54697"/>
    <n v="537"/>
    <n v="391"/>
    <n v="146"/>
    <n v="0.27"/>
    <m/>
    <x v="0"/>
  </r>
  <r>
    <d v="2021-06-01T00:00:00"/>
    <x v="5"/>
    <x v="1"/>
    <n v="54758"/>
    <n v="561"/>
    <n v="500"/>
    <n v="61"/>
    <n v="0.11"/>
    <m/>
    <x v="0"/>
  </r>
  <r>
    <d v="2021-07-01T00:00:00"/>
    <x v="5"/>
    <x v="1"/>
    <n v="54414"/>
    <n v="543"/>
    <n v="887"/>
    <n v="-344"/>
    <n v="-0.63"/>
    <m/>
    <x v="0"/>
  </r>
  <r>
    <d v="2021-08-01T00:00:00"/>
    <x v="5"/>
    <x v="1"/>
    <n v="54311"/>
    <n v="489"/>
    <n v="592"/>
    <n v="-103"/>
    <n v="-0.19"/>
    <m/>
    <x v="0"/>
  </r>
  <r>
    <d v="2021-09-01T00:00:00"/>
    <x v="5"/>
    <x v="1"/>
    <n v="54598"/>
    <n v="541"/>
    <n v="254"/>
    <n v="287"/>
    <n v="0.53"/>
    <m/>
    <x v="0"/>
  </r>
  <r>
    <d v="2021-10-01T00:00:00"/>
    <x v="5"/>
    <x v="1"/>
    <n v="53995"/>
    <n v="552"/>
    <n v="1155"/>
    <n v="-603"/>
    <n v="-1.1000000000000001"/>
    <m/>
    <x v="0"/>
  </r>
  <r>
    <d v="2021-11-01T00:00:00"/>
    <x v="5"/>
    <x v="1"/>
    <n v="54020"/>
    <n v="510"/>
    <n v="485"/>
    <n v="25"/>
    <n v="0.05"/>
    <m/>
    <x v="0"/>
  </r>
  <r>
    <d v="2021-12-01T00:00:00"/>
    <x v="5"/>
    <x v="1"/>
    <n v="54168"/>
    <n v="556"/>
    <n v="408"/>
    <n v="148"/>
    <n v="0.27"/>
    <m/>
    <x v="0"/>
  </r>
  <r>
    <d v="2022-01-01T00:00:00"/>
    <x v="5"/>
    <x v="1"/>
    <n v="55079"/>
    <n v="1497"/>
    <n v="587"/>
    <n v="911"/>
    <n v="1.68"/>
    <n v="0.55000000000000004"/>
    <x v="1"/>
  </r>
  <r>
    <d v="2022-02-01T00:00:00"/>
    <x v="5"/>
    <x v="1"/>
    <n v="55077"/>
    <n v="521"/>
    <n v="523"/>
    <n v="-2"/>
    <n v="0"/>
    <n v="0.4"/>
    <x v="1"/>
  </r>
  <r>
    <d v="2022-03-01T00:00:00"/>
    <x v="5"/>
    <x v="1"/>
    <n v="54620"/>
    <n v="566"/>
    <n v="1023"/>
    <n v="-457"/>
    <n v="-0.83"/>
    <n v="-0.5"/>
    <x v="1"/>
  </r>
  <r>
    <d v="2022-04-01T00:00:00"/>
    <x v="5"/>
    <x v="1"/>
    <n v="54500"/>
    <n v="560"/>
    <n v="680"/>
    <n v="-120"/>
    <n v="-0.22"/>
    <n v="-0.09"/>
    <x v="1"/>
  </r>
  <r>
    <d v="2022-05-01T00:00:00"/>
    <x v="5"/>
    <x v="1"/>
    <n v="54667"/>
    <n v="537"/>
    <n v="370"/>
    <n v="167"/>
    <n v="0.31"/>
    <n v="-0.05"/>
    <x v="1"/>
  </r>
  <r>
    <d v="2022-06-01T00:00:00"/>
    <x v="5"/>
    <x v="1"/>
    <n v="54479"/>
    <n v="564"/>
    <n v="752"/>
    <n v="-188"/>
    <n v="-0.34"/>
    <n v="-0.51"/>
    <x v="1"/>
  </r>
  <r>
    <d v="2022-07-01T00:00:00"/>
    <x v="5"/>
    <x v="1"/>
    <n v="54426"/>
    <n v="515"/>
    <n v="568"/>
    <n v="-53"/>
    <n v="-0.1"/>
    <n v="0.02"/>
    <x v="1"/>
  </r>
  <r>
    <d v="2022-08-01T00:00:00"/>
    <x v="5"/>
    <x v="1"/>
    <n v="54046"/>
    <n v="535"/>
    <n v="915"/>
    <n v="-380"/>
    <n v="-0.7"/>
    <n v="-0.49"/>
    <x v="1"/>
  </r>
  <r>
    <d v="2022-09-01T00:00:00"/>
    <x v="5"/>
    <x v="1"/>
    <n v="54215"/>
    <n v="490"/>
    <n v="354"/>
    <n v="169"/>
    <n v="0.31"/>
    <n v="-0.7"/>
    <x v="1"/>
  </r>
  <r>
    <d v="2022-10-01T00:00:00"/>
    <x v="5"/>
    <x v="1"/>
    <n v="54124"/>
    <n v="583"/>
    <n v="674"/>
    <n v="-91"/>
    <n v="-0.17"/>
    <n v="0.24"/>
    <x v="1"/>
  </r>
  <r>
    <d v="2022-11-01T00:00:00"/>
    <x v="5"/>
    <x v="1"/>
    <n v="54123"/>
    <n v="484"/>
    <n v="485"/>
    <n v="-1"/>
    <n v="0"/>
    <n v="0.19"/>
    <x v="1"/>
  </r>
  <r>
    <d v="2022-12-01T00:00:00"/>
    <x v="5"/>
    <x v="1"/>
    <n v="54035"/>
    <n v="540"/>
    <n v="628"/>
    <n v="-88"/>
    <n v="-0.16"/>
    <n v="-0.25"/>
    <x v="1"/>
  </r>
  <r>
    <d v="2023-01-01T00:00:00"/>
    <x v="5"/>
    <x v="1"/>
    <n v="54761"/>
    <n v="1325"/>
    <n v="599"/>
    <n v="726"/>
    <n v="1.34"/>
    <n v="-0.57999999999999996"/>
    <x v="2"/>
  </r>
  <r>
    <d v="2023-02-01T00:00:00"/>
    <x v="5"/>
    <x v="1"/>
    <n v="54861"/>
    <n v="529"/>
    <n v="429"/>
    <n v="100"/>
    <n v="0.18"/>
    <n v="-0.39"/>
    <x v="2"/>
  </r>
  <r>
    <d v="2023-03-01T00:00:00"/>
    <x v="5"/>
    <x v="1"/>
    <n v="54796"/>
    <n v="550"/>
    <n v="615"/>
    <n v="-65"/>
    <n v="-0.12"/>
    <n v="0.32"/>
    <x v="2"/>
  </r>
  <r>
    <d v="2023-04-01T00:00:00"/>
    <x v="5"/>
    <x v="1"/>
    <n v="54632"/>
    <n v="548"/>
    <n v="712"/>
    <n v="-164"/>
    <n v="-0.3"/>
    <n v="0.24"/>
    <x v="2"/>
  </r>
  <r>
    <d v="2023-05-01T00:00:00"/>
    <x v="5"/>
    <x v="1"/>
    <n v="54591"/>
    <n v="542"/>
    <n v="583"/>
    <n v="-41"/>
    <n v="-0.08"/>
    <n v="-0.14000000000000001"/>
    <x v="2"/>
  </r>
  <r>
    <d v="2023-06-01T00:00:00"/>
    <x v="5"/>
    <x v="1"/>
    <n v="54857"/>
    <n v="715"/>
    <n v="470"/>
    <n v="266"/>
    <n v="0.49"/>
    <n v="0.69"/>
    <x v="2"/>
  </r>
  <r>
    <d v="2023-07-01T00:00:00"/>
    <x v="5"/>
    <x v="1"/>
    <n v="54773"/>
    <n v="507"/>
    <n v="591"/>
    <n v="-84"/>
    <n v="-0.15"/>
    <n v="0.64"/>
    <x v="2"/>
  </r>
  <r>
    <d v="2023-08-01T00:00:00"/>
    <x v="5"/>
    <x v="1"/>
    <n v="54673"/>
    <n v="542"/>
    <n v="642"/>
    <n v="-100"/>
    <n v="-0.18"/>
    <n v="1.1599999999999999"/>
    <x v="2"/>
  </r>
  <r>
    <d v="2023-09-01T00:00:00"/>
    <x v="5"/>
    <x v="1"/>
    <n v="54557"/>
    <n v="546"/>
    <n v="662"/>
    <n v="-116"/>
    <n v="-0.21"/>
    <n v="0.63"/>
    <x v="2"/>
  </r>
  <r>
    <d v="2023-10-01T00:00:00"/>
    <x v="5"/>
    <x v="1"/>
    <n v="54549"/>
    <n v="493"/>
    <n v="501"/>
    <n v="-8"/>
    <n v="-0.01"/>
    <n v="0.79"/>
    <x v="2"/>
  </r>
  <r>
    <d v="2023-11-01T00:00:00"/>
    <x v="5"/>
    <x v="1"/>
    <n v="54539"/>
    <n v="548"/>
    <n v="566"/>
    <n v="-10"/>
    <n v="-0.02"/>
    <n v="0.77"/>
    <x v="2"/>
  </r>
  <r>
    <d v="2023-12-01T00:00:00"/>
    <x v="5"/>
    <x v="1"/>
    <n v="54483"/>
    <n v="656"/>
    <n v="712"/>
    <n v="-56"/>
    <n v="-0.1"/>
    <n v="0.83"/>
    <x v="2"/>
  </r>
  <r>
    <d v="2024-01-01T00:00:00"/>
    <x v="5"/>
    <x v="1"/>
    <n v="55375"/>
    <n v="1420"/>
    <n v="528"/>
    <n v="892"/>
    <n v="1.64"/>
    <n v="1.1200000000000001"/>
    <x v="3"/>
  </r>
  <r>
    <d v="2024-02-01T00:00:00"/>
    <x v="5"/>
    <x v="1"/>
    <n v="55039"/>
    <n v="544"/>
    <n v="880"/>
    <n v="-336"/>
    <n v="-0.61"/>
    <n v="0.32"/>
    <x v="3"/>
  </r>
  <r>
    <d v="2024-03-01T00:00:00"/>
    <x v="5"/>
    <x v="1"/>
    <n v="55152"/>
    <n v="552"/>
    <n v="481"/>
    <n v="113"/>
    <n v="0.21"/>
    <n v="0.65"/>
    <x v="3"/>
  </r>
  <r>
    <d v="2024-04-01T00:00:00"/>
    <x v="5"/>
    <x v="1"/>
    <n v="55027"/>
    <n v="545"/>
    <n v="670"/>
    <n v="-125"/>
    <n v="-0.23"/>
    <n v="0.72"/>
    <x v="3"/>
  </r>
  <r>
    <d v="2024-05-01T00:00:00"/>
    <x v="5"/>
    <x v="1"/>
    <n v="55346"/>
    <n v="721"/>
    <n v="433"/>
    <n v="319"/>
    <n v="0.57999999999999996"/>
    <n v="1.38"/>
    <x v="3"/>
  </r>
  <r>
    <d v="2024-06-01T00:00:00"/>
    <x v="5"/>
    <x v="1"/>
    <n v="54845"/>
    <n v="515"/>
    <n v="1016"/>
    <n v="-501"/>
    <n v="-0.91"/>
    <n v="-0.02"/>
    <x v="3"/>
  </r>
  <r>
    <d v="2024-07-01T00:00:00"/>
    <x v="5"/>
    <x v="1"/>
    <n v="54623"/>
    <n v="565"/>
    <n v="787"/>
    <n v="-222"/>
    <n v="-0.4"/>
    <n v="-0.27"/>
    <x v="3"/>
  </r>
  <r>
    <d v="2024-08-01T00:00:00"/>
    <x v="5"/>
    <x v="1"/>
    <n v="54731"/>
    <n v="549"/>
    <n v="441"/>
    <n v="108"/>
    <n v="0.2"/>
    <n v="0.11"/>
    <x v="3"/>
  </r>
  <r>
    <d v="2024-09-01T00:00:00"/>
    <x v="5"/>
    <x v="1"/>
    <n v="54406"/>
    <n v="588"/>
    <n v="913"/>
    <n v="-325"/>
    <n v="-0.59"/>
    <n v="-0.28000000000000003"/>
    <x v="3"/>
  </r>
  <r>
    <d v="2024-10-01T00:00:00"/>
    <x v="5"/>
    <x v="1"/>
    <n v="54262"/>
    <n v="558"/>
    <n v="702"/>
    <n v="-144"/>
    <n v="-0.26"/>
    <n v="-0.53"/>
    <x v="3"/>
  </r>
  <r>
    <d v="2024-11-01T00:00:00"/>
    <x v="5"/>
    <x v="1"/>
    <n v="53957"/>
    <n v="495"/>
    <n v="800"/>
    <n v="-305"/>
    <n v="-0.56000000000000005"/>
    <n v="-1.07"/>
    <x v="3"/>
  </r>
  <r>
    <d v="2024-12-01T00:00:00"/>
    <x v="5"/>
    <x v="1"/>
    <n v="54221"/>
    <n v="602"/>
    <n v="338"/>
    <n v="264"/>
    <n v="0.49"/>
    <n v="-0.48"/>
    <x v="3"/>
  </r>
  <r>
    <d v="2025-01-01T00:00:00"/>
    <x v="5"/>
    <x v="1"/>
    <n v="55098"/>
    <n v="1408"/>
    <n v="531"/>
    <n v="877"/>
    <n v="1.62"/>
    <n v="-0.5"/>
    <x v="4"/>
  </r>
  <r>
    <d v="2025-02-01T00:00:00"/>
    <x v="5"/>
    <x v="1"/>
    <n v="54860"/>
    <n v="547"/>
    <n v="785"/>
    <n v="-238"/>
    <n v="-0.43"/>
    <n v="-0.33"/>
    <x v="4"/>
  </r>
  <r>
    <d v="2025-03-01T00:00:00"/>
    <x v="5"/>
    <x v="1"/>
    <n v="54678"/>
    <n v="519"/>
    <n v="701"/>
    <n v="-182"/>
    <n v="-0.33"/>
    <n v="-0.86"/>
    <x v="4"/>
  </r>
  <r>
    <d v="2025-04-01T00:00:00"/>
    <x v="5"/>
    <x v="1"/>
    <n v="54564"/>
    <n v="501"/>
    <n v="615"/>
    <n v="-114"/>
    <n v="-0.21"/>
    <n v="-0.84"/>
    <x v="4"/>
  </r>
  <r>
    <d v="2025-05-01T00:00:00"/>
    <x v="5"/>
    <x v="1"/>
    <n v="54545"/>
    <n v="515"/>
    <n v="541"/>
    <n v="-19"/>
    <n v="-0.03"/>
    <n v="-1.45"/>
    <x v="4"/>
  </r>
  <r>
    <d v="2025-06-01T00:00:00"/>
    <x v="5"/>
    <x v="1"/>
    <n v="54293"/>
    <n v="500"/>
    <n v="752"/>
    <n v="-252"/>
    <n v="-0.46"/>
    <n v="-1.01"/>
    <x v="4"/>
  </r>
  <r>
    <d v="2025-07-01T00:00:00"/>
    <x v="5"/>
    <x v="1"/>
    <n v="53854"/>
    <n v="505"/>
    <n v="944"/>
    <n v="-439"/>
    <n v="-0.81"/>
    <n v="-1.41"/>
    <x v="4"/>
  </r>
  <r>
    <d v="2025-08-01T00:00:00"/>
    <x v="5"/>
    <x v="1"/>
    <n v="54060"/>
    <n v="609"/>
    <n v="403"/>
    <n v="206"/>
    <n v="0.38"/>
    <n v="-1.23"/>
    <x v="4"/>
  </r>
  <r>
    <d v="2025-09-01T00:00:00"/>
    <x v="5"/>
    <x v="1"/>
    <n v="54192"/>
    <n v="536"/>
    <n v="404"/>
    <n v="132"/>
    <n v="0.24"/>
    <n v="-0.39"/>
    <x v="4"/>
  </r>
  <r>
    <d v="2025-10-01T00:00:00"/>
    <x v="5"/>
    <x v="1"/>
    <n v="53943"/>
    <n v="486"/>
    <n v="735"/>
    <n v="-249"/>
    <n v="-0.46"/>
    <n v="-0.59"/>
    <x v="4"/>
  </r>
  <r>
    <d v="2025-11-01T00:00:00"/>
    <x v="5"/>
    <x v="1"/>
    <n v="53965"/>
    <n v="523"/>
    <n v="501"/>
    <n v="22"/>
    <n v="0.04"/>
    <n v="0.01"/>
    <x v="4"/>
  </r>
  <r>
    <d v="2025-12-01T00:00:00"/>
    <x v="5"/>
    <x v="1"/>
    <n v="53739"/>
    <n v="515"/>
    <n v="741"/>
    <n v="-226"/>
    <n v="-0.42"/>
    <n v="-0.89"/>
    <x v="4"/>
  </r>
  <r>
    <d v="2026-01-01T00:00:00"/>
    <x v="5"/>
    <x v="1"/>
    <n v="54534"/>
    <n v="1283"/>
    <n v="488"/>
    <n v="795"/>
    <n v="1.48"/>
    <n v="-1.02"/>
    <x v="5"/>
  </r>
  <r>
    <d v="2026-02-01T00:00:00"/>
    <x v="5"/>
    <x v="1"/>
    <n v="54439"/>
    <n v="554"/>
    <n v="649"/>
    <n v="-95"/>
    <n v="-0.17"/>
    <n v="-0.77"/>
    <x v="5"/>
  </r>
  <r>
    <d v="2026-03-01T00:00:00"/>
    <x v="5"/>
    <x v="1"/>
    <n v="54701"/>
    <n v="579"/>
    <n v="317"/>
    <n v="262"/>
    <n v="0.48"/>
    <n v="0.04"/>
    <x v="5"/>
  </r>
  <r>
    <d v="2026-04-01T00:00:00"/>
    <x v="5"/>
    <x v="1"/>
    <n v="54423"/>
    <n v="544"/>
    <n v="822"/>
    <n v="-278"/>
    <n v="-0.51"/>
    <n v="-0.26"/>
    <x v="5"/>
  </r>
  <r>
    <d v="2026-05-01T00:00:00"/>
    <x v="5"/>
    <x v="1"/>
    <n v="54603"/>
    <n v="662"/>
    <n v="482"/>
    <n v="180"/>
    <n v="0.33"/>
    <n v="0.11"/>
    <x v="5"/>
  </r>
  <r>
    <d v="2026-06-01T00:00:00"/>
    <x v="5"/>
    <x v="1"/>
    <n v="54277"/>
    <n v="559"/>
    <n v="885"/>
    <n v="-326"/>
    <n v="-0.6"/>
    <n v="-0.03"/>
    <x v="5"/>
  </r>
  <r>
    <d v="2026-07-01T00:00:00"/>
    <x v="5"/>
    <x v="1"/>
    <n v="54013"/>
    <n v="557"/>
    <n v="821"/>
    <n v="-264"/>
    <n v="-0.49"/>
    <n v="0.3"/>
    <x v="5"/>
  </r>
  <r>
    <d v="2026-08-01T00:00:00"/>
    <x v="5"/>
    <x v="1"/>
    <n v="53710"/>
    <n v="556"/>
    <n v="859"/>
    <n v="-303"/>
    <n v="-0.56000000000000005"/>
    <n v="-0.65"/>
    <x v="5"/>
  </r>
  <r>
    <d v="2026-09-01T00:00:00"/>
    <x v="5"/>
    <x v="1"/>
    <n v="53535"/>
    <n v="567"/>
    <n v="742"/>
    <n v="-175"/>
    <n v="-0.33"/>
    <n v="-1.2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E94CC-0C41-488A-AA81-04291E1E5C13}" name="ptMembership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1" firstHeaderRow="1" firstDataRow="2" firstDataCol="1" rowPageCount="1" colPageCount="1"/>
  <pivotFields count="10">
    <pivotField numFmtId="165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name="PivotTable: average monthly members by product and year (filter by line of business)" axis="axisPage" showAll="0">
      <items count="5">
        <item x="1"/>
        <item x="0"/>
        <item x="2"/>
        <item x="3"/>
        <item t="default"/>
      </items>
    </pivotField>
    <pivotField dataField="1" numFmtId="3" showAll="0"/>
    <pivotField showAll="0"/>
    <pivotField showAll="0"/>
    <pivotField showAll="0"/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-1"/>
  </pageFields>
  <dataFields count="1">
    <dataField name="Avg monthly members" fld="3" subtotal="average" baseField="0" baseItem="0" numFmtId="3"/>
  </dataFields>
  <formats count="1">
    <format dxfId="0">
      <pivotArea field="2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embership" displayName="tblMembership" ref="A1:J415">
  <autoFilter ref="A1:J415" xr:uid="{00000000-0009-0000-0100-000001000000}"/>
  <tableColumns count="10">
    <tableColumn id="1" xr3:uid="{00000000-0010-0000-0000-000001000000}" name="month"/>
    <tableColumn id="2" xr3:uid="{00000000-0010-0000-0000-000002000000}" name="product"/>
    <tableColumn id="3" xr3:uid="{00000000-0010-0000-0000-000003000000}" name="line_of_business"/>
    <tableColumn id="4" xr3:uid="{00000000-0010-0000-0000-000004000000}" name="members"/>
    <tableColumn id="5" xr3:uid="{00000000-0010-0000-0000-000005000000}" name="gross_adds"/>
    <tableColumn id="6" xr3:uid="{00000000-0010-0000-0000-000006000000}" name="terminations"/>
    <tableColumn id="7" xr3:uid="{00000000-0010-0000-0000-000007000000}" name="net_change"/>
    <tableColumn id="8" xr3:uid="{00000000-0010-0000-0000-000008000000}" name="mom_pct"/>
    <tableColumn id="9" xr3:uid="{00000000-0010-0000-0000-000009000000}" name="yoy_pct"/>
    <tableColumn id="10" xr3:uid="{00000000-0010-0000-0000-00000A000000}" name="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s" displayName="tblProducts" ref="A1:C7">
  <autoFilter ref="A1:C7" xr:uid="{00000000-0009-0000-0100-000002000000}"/>
  <tableColumns count="3">
    <tableColumn id="1" xr3:uid="{00000000-0010-0000-0100-000001000000}" name="product"/>
    <tableColumn id="2" xr3:uid="{00000000-0010-0000-0100-000002000000}" name="line_of_business"/>
    <tableColumn id="3" xr3:uid="{00000000-0010-0000-0100-000003000000}" name="owner_tea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Budget" displayName="tblBudget" ref="A1:D55">
  <autoFilter ref="A1:D55" xr:uid="{00000000-0009-0000-0100-000003000000}"/>
  <tableColumns count="4">
    <tableColumn id="1" xr3:uid="{00000000-0010-0000-0200-000001000000}" name="month"/>
    <tableColumn id="2" xr3:uid="{00000000-0010-0000-0200-000002000000}" name="product"/>
    <tableColumn id="3" xr3:uid="{00000000-0010-0000-0200-000003000000}" name="actual_members"/>
    <tableColumn id="4" xr3:uid="{00000000-0010-0000-0200-000004000000}" name="budget_membe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Forecast" displayName="tblForecast" ref="A1:H145">
  <autoFilter ref="A1:H145" xr:uid="{00000000-0009-0000-0100-000004000000}"/>
  <tableColumns count="8">
    <tableColumn id="1" xr3:uid="{00000000-0010-0000-0300-000001000000}" name="month"/>
    <tableColumn id="2" xr3:uid="{00000000-0010-0000-0300-000002000000}" name="product"/>
    <tableColumn id="3" xr3:uid="{00000000-0010-0000-0300-000003000000}" name="actual_members"/>
    <tableColumn id="4" xr3:uid="{00000000-0010-0000-0300-000004000000}" name="forecast_members"/>
    <tableColumn id="5" xr3:uid="{00000000-0010-0000-0300-000005000000}" name="type"/>
    <tableColumn id="6" xr3:uid="{00000000-0010-0000-0300-000006000000}" name="variance"/>
    <tableColumn id="7" xr3:uid="{00000000-0010-0000-0300-000007000000}" name="variance_pct"/>
    <tableColumn id="8" xr3:uid="{00000000-0010-0000-0300-000008000000}" name="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econ" displayName="tblRecon" ref="A1:H7">
  <autoFilter ref="A1:H7" xr:uid="{00000000-0009-0000-0100-000005000000}"/>
  <tableColumns count="8">
    <tableColumn id="1" xr3:uid="{00000000-0010-0000-0400-000001000000}" name="month"/>
    <tableColumn id="2" xr3:uid="{00000000-0010-0000-0400-000002000000}" name="product"/>
    <tableColumn id="3" xr3:uid="{00000000-0010-0000-0400-000003000000}" name="region"/>
    <tableColumn id="4" xr3:uid="{00000000-0010-0000-0400-000004000000}" name="enrollment_members"/>
    <tableColumn id="5" xr3:uid="{00000000-0010-0000-0400-000005000000}" name="finance_members"/>
    <tableColumn id="6" xr3:uid="{00000000-0010-0000-0400-000006000000}" name="variance"/>
    <tableColumn id="7" xr3:uid="{00000000-0010-0000-0400-000007000000}" name="variance_pct"/>
    <tableColumn id="8" xr3:uid="{00000000-0010-0000-0400-000008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/>
  </sheetViews>
  <sheetFormatPr defaultRowHeight="14.5" x14ac:dyDescent="0.35"/>
  <cols>
    <col min="1" max="1" width="36" customWidth="1"/>
    <col min="2" max="2" width="18" customWidth="1"/>
  </cols>
  <sheetData>
    <row r="1" spans="1:4" ht="18.5" x14ac:dyDescent="0.45">
      <c r="A1" s="1" t="s">
        <v>0</v>
      </c>
    </row>
    <row r="3" spans="1:4" x14ac:dyDescent="0.35">
      <c r="A3" s="2" t="s">
        <v>1</v>
      </c>
      <c r="B3" s="3" t="s">
        <v>2</v>
      </c>
      <c r="D3" s="4" t="s">
        <v>3</v>
      </c>
    </row>
    <row r="4" spans="1:4" x14ac:dyDescent="0.35">
      <c r="A4" s="2" t="s">
        <v>4</v>
      </c>
      <c r="B4" s="5">
        <v>46266</v>
      </c>
    </row>
    <row r="5" spans="1:4" x14ac:dyDescent="0.35">
      <c r="A5" s="2" t="s">
        <v>5</v>
      </c>
      <c r="B5" s="6">
        <f>SUMIFS(Data!$D:$D,Data!$B:$B,$B$3,Data!$A:$A,$B$4)</f>
        <v>88795</v>
      </c>
    </row>
    <row r="6" spans="1:4" x14ac:dyDescent="0.35">
      <c r="A6" s="2" t="s">
        <v>6</v>
      </c>
      <c r="B6" s="6">
        <f>SUMIFS(Data!$D:$D,Data!$B:$B,$B$3,Data!$A:$A,EDATE($B$4,-12))</f>
        <v>83183</v>
      </c>
    </row>
    <row r="7" spans="1:4" x14ac:dyDescent="0.35">
      <c r="A7" s="2" t="s">
        <v>7</v>
      </c>
      <c r="B7" s="6">
        <f>B5-B6</f>
        <v>5612</v>
      </c>
    </row>
    <row r="8" spans="1:4" x14ac:dyDescent="0.35">
      <c r="A8" s="2" t="s">
        <v>8</v>
      </c>
      <c r="B8" s="7">
        <f>IFERROR(B7/B6,"n/a")</f>
        <v>6.7465708137480013E-2</v>
      </c>
    </row>
    <row r="9" spans="1:4" x14ac:dyDescent="0.35">
      <c r="A9" s="2" t="s">
        <v>9</v>
      </c>
      <c r="B9" s="6">
        <f>SUMIFS(Data!$E:$E,Data!$B:$B,$B$3,Data!$A:$A,$B$4)</f>
        <v>1072</v>
      </c>
    </row>
    <row r="10" spans="1:4" x14ac:dyDescent="0.35">
      <c r="A10" s="2" t="s">
        <v>10</v>
      </c>
      <c r="B10" s="6">
        <f>SUMIFS(Data!$F:$F,Data!$B:$B,$B$3,Data!$A:$A,$B$4)</f>
        <v>465</v>
      </c>
    </row>
    <row r="11" spans="1:4" x14ac:dyDescent="0.35">
      <c r="A11" s="2" t="s">
        <v>11</v>
      </c>
      <c r="B11" t="str">
        <f>INDEX(Products!$B:$B,MATCH($B$3,Products!$A:$A,0))</f>
        <v>Medicare Advantage</v>
      </c>
    </row>
    <row r="12" spans="1:4" x14ac:dyDescent="0.35">
      <c r="A12" s="2" t="s">
        <v>12</v>
      </c>
      <c r="B12" t="e">
        <f ca="1">_xlfn.XLOOKUP($B$3,Products!$A:$A,Products!$C:$C,"Not found")</f>
        <v>#NAME?</v>
      </c>
      <c r="D12" s="4" t="s">
        <v>13</v>
      </c>
    </row>
    <row r="13" spans="1:4" x14ac:dyDescent="0.35">
      <c r="A13" s="2" t="s">
        <v>14</v>
      </c>
      <c r="B13" t="str">
        <f>VLOOKUP($B$3,Products!$A:$C,3,FALSE)</f>
        <v>Government Markets</v>
      </c>
    </row>
    <row r="14" spans="1:4" x14ac:dyDescent="0.35">
      <c r="A14" s="2" t="s">
        <v>15</v>
      </c>
      <c r="B14" s="6">
        <f>SUMIFS(Budget!$D:$D,Budget!$B:$B,$B$3,Budget!$A:$A,$B$4)</f>
        <v>92084</v>
      </c>
    </row>
    <row r="15" spans="1:4" x14ac:dyDescent="0.35">
      <c r="A15" s="2" t="s">
        <v>16</v>
      </c>
      <c r="B15" s="7">
        <f>IF(B14=0,"no budget",(B5-B14)/B14)</f>
        <v>-3.5717388471395682E-2</v>
      </c>
    </row>
  </sheetData>
  <conditionalFormatting sqref="B8">
    <cfRule type="cellIs" dxfId="4" priority="1" operator="lessThan">
      <formula>0</formula>
    </cfRule>
  </conditionalFormatting>
  <conditionalFormatting sqref="B15">
    <cfRule type="expression" dxfId="3" priority="2">
      <formula>AND(ISNUMBER(B15),ABS(B15)&gt;0.02)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="Pick a product from the list" xr:uid="{00000000-0002-0000-0000-000000000000}">
          <x14:formula1>
            <xm:f>Products!$A$2:$A$7</xm:f>
          </x14:formula1>
          <xm:sqref>B3</xm:sqref>
        </x14:dataValidation>
        <x14:dataValidation type="list" error="Pick a month from the list" xr:uid="{00000000-0002-0000-0000-000001000000}">
          <x14:formula1>
            <xm:f>Lists!$A$2:$A$70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99AEF-8C70-4895-A939-785559C1E566}">
  <dimension ref="A1:H11"/>
  <sheetViews>
    <sheetView workbookViewId="0"/>
  </sheetViews>
  <sheetFormatPr defaultRowHeight="14.5" x14ac:dyDescent="0.35"/>
  <cols>
    <col min="1" max="1" width="20.453125" bestFit="1" customWidth="1"/>
    <col min="2" max="2" width="15.6328125" bestFit="1" customWidth="1"/>
    <col min="3" max="7" width="7.26953125" bestFit="1" customWidth="1"/>
    <col min="8" max="8" width="10.7265625" bestFit="1" customWidth="1"/>
  </cols>
  <sheetData>
    <row r="1" spans="1:8" x14ac:dyDescent="0.35">
      <c r="A1" s="13" t="s">
        <v>66</v>
      </c>
      <c r="B1" t="s">
        <v>61</v>
      </c>
    </row>
    <row r="3" spans="1:8" x14ac:dyDescent="0.35">
      <c r="A3" s="11" t="s">
        <v>65</v>
      </c>
      <c r="B3" s="11" t="s">
        <v>64</v>
      </c>
    </row>
    <row r="4" spans="1:8" x14ac:dyDescent="0.35">
      <c r="A4" s="11" t="s">
        <v>62</v>
      </c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 t="s">
        <v>63</v>
      </c>
    </row>
    <row r="5" spans="1:8" x14ac:dyDescent="0.35">
      <c r="A5" s="12" t="s">
        <v>27</v>
      </c>
      <c r="B5" s="6">
        <v>37310.083333333336</v>
      </c>
      <c r="C5" s="6">
        <v>39616.166666666664</v>
      </c>
      <c r="D5" s="6">
        <v>42017.166666666664</v>
      </c>
      <c r="E5" s="6">
        <v>44914.75</v>
      </c>
      <c r="F5" s="6">
        <v>47588.5</v>
      </c>
      <c r="G5" s="6">
        <v>44521.333333333336</v>
      </c>
      <c r="H5" s="6">
        <v>42580.463768115944</v>
      </c>
    </row>
    <row r="6" spans="1:8" x14ac:dyDescent="0.35">
      <c r="A6" s="12" t="s">
        <v>29</v>
      </c>
      <c r="B6" s="6">
        <v>215024.41666666666</v>
      </c>
      <c r="C6" s="6">
        <v>220478</v>
      </c>
      <c r="D6" s="6">
        <v>225301.33333333334</v>
      </c>
      <c r="E6" s="6">
        <v>230486.16666666666</v>
      </c>
      <c r="F6" s="6">
        <v>237063.75</v>
      </c>
      <c r="G6" s="6">
        <v>243110.88888888888</v>
      </c>
      <c r="H6" s="6">
        <v>227945.53623188406</v>
      </c>
    </row>
    <row r="7" spans="1:8" x14ac:dyDescent="0.35">
      <c r="A7" s="12" t="s">
        <v>2</v>
      </c>
      <c r="B7" s="6">
        <v>65293.333333333336</v>
      </c>
      <c r="C7" s="6">
        <v>69564.916666666672</v>
      </c>
      <c r="D7" s="6">
        <v>74322</v>
      </c>
      <c r="E7" s="6">
        <v>78766.333333333328</v>
      </c>
      <c r="F7" s="6">
        <v>83425.916666666672</v>
      </c>
      <c r="G7" s="6">
        <v>88287.666666666672</v>
      </c>
      <c r="H7" s="6">
        <v>76102.304347826081</v>
      </c>
    </row>
    <row r="8" spans="1:8" x14ac:dyDescent="0.35">
      <c r="A8" s="12" t="s">
        <v>32</v>
      </c>
      <c r="B8" s="6">
        <v>43525.666666666664</v>
      </c>
      <c r="C8" s="6">
        <v>47349.166666666664</v>
      </c>
      <c r="D8" s="6">
        <v>51647.166666666664</v>
      </c>
      <c r="E8" s="6">
        <v>56401.916666666664</v>
      </c>
      <c r="F8" s="6">
        <v>61234.5</v>
      </c>
      <c r="G8" s="6">
        <v>67570.666666666672</v>
      </c>
      <c r="H8" s="6">
        <v>54058.507246376808</v>
      </c>
    </row>
    <row r="9" spans="1:8" x14ac:dyDescent="0.35">
      <c r="A9" s="12" t="s">
        <v>33</v>
      </c>
      <c r="B9" s="6">
        <v>28267.75</v>
      </c>
      <c r="C9" s="6">
        <v>28198.583333333332</v>
      </c>
      <c r="D9" s="6">
        <v>28229.416666666668</v>
      </c>
      <c r="E9" s="6">
        <v>28371.333333333332</v>
      </c>
      <c r="F9" s="6">
        <v>28553.25</v>
      </c>
      <c r="G9" s="6">
        <v>28559</v>
      </c>
      <c r="H9" s="6">
        <v>28354.710144927536</v>
      </c>
    </row>
    <row r="10" spans="1:8" x14ac:dyDescent="0.35">
      <c r="A10" s="12" t="s">
        <v>35</v>
      </c>
      <c r="B10" s="6">
        <v>54503.416666666664</v>
      </c>
      <c r="C10" s="6">
        <v>54449.25</v>
      </c>
      <c r="D10" s="6">
        <v>54672.666666666664</v>
      </c>
      <c r="E10" s="6">
        <v>54748.666666666664</v>
      </c>
      <c r="F10" s="6">
        <v>54315.916666666664</v>
      </c>
      <c r="G10" s="6">
        <v>54248.333333333336</v>
      </c>
      <c r="H10" s="6">
        <v>54500.202898550728</v>
      </c>
    </row>
    <row r="11" spans="1:8" x14ac:dyDescent="0.35">
      <c r="A11" s="12" t="s">
        <v>63</v>
      </c>
      <c r="B11" s="6">
        <v>73987.444444444438</v>
      </c>
      <c r="C11" s="6">
        <v>76609.347222222219</v>
      </c>
      <c r="D11" s="6">
        <v>79364.958333333328</v>
      </c>
      <c r="E11" s="6">
        <v>82281.527777777781</v>
      </c>
      <c r="F11" s="6">
        <v>85363.638888888891</v>
      </c>
      <c r="G11" s="6">
        <v>87716.314814814818</v>
      </c>
      <c r="H11" s="6">
        <v>80590.28743961353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8" customWidth="1"/>
    <col min="4" max="5" width="12" customWidth="1"/>
    <col min="6" max="6" width="14" customWidth="1"/>
    <col min="7" max="10" width="12" customWidth="1"/>
  </cols>
  <sheetData>
    <row r="1" spans="1:10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 spans="1:10" x14ac:dyDescent="0.35">
      <c r="A2" s="8">
        <v>44197</v>
      </c>
      <c r="B2" t="s">
        <v>27</v>
      </c>
      <c r="C2" t="s">
        <v>28</v>
      </c>
      <c r="D2" s="6">
        <v>37870</v>
      </c>
      <c r="E2">
        <v>3339</v>
      </c>
      <c r="F2">
        <v>0</v>
      </c>
      <c r="J2">
        <v>2021</v>
      </c>
    </row>
    <row r="3" spans="1:10" x14ac:dyDescent="0.35">
      <c r="A3" s="8">
        <v>44228</v>
      </c>
      <c r="B3" t="s">
        <v>27</v>
      </c>
      <c r="C3" t="s">
        <v>28</v>
      </c>
      <c r="D3" s="6">
        <v>37434</v>
      </c>
      <c r="E3">
        <v>357</v>
      </c>
      <c r="F3">
        <v>793</v>
      </c>
      <c r="G3">
        <v>-436</v>
      </c>
      <c r="H3">
        <v>-1.1499999999999999</v>
      </c>
      <c r="J3">
        <v>2021</v>
      </c>
    </row>
    <row r="4" spans="1:10" x14ac:dyDescent="0.35">
      <c r="A4" s="8">
        <v>44256</v>
      </c>
      <c r="B4" t="s">
        <v>27</v>
      </c>
      <c r="C4" t="s">
        <v>28</v>
      </c>
      <c r="D4" s="6">
        <v>36786</v>
      </c>
      <c r="E4">
        <v>391</v>
      </c>
      <c r="F4">
        <v>1039</v>
      </c>
      <c r="G4">
        <v>-648</v>
      </c>
      <c r="H4">
        <v>-1.73</v>
      </c>
      <c r="J4">
        <v>2021</v>
      </c>
    </row>
    <row r="5" spans="1:10" x14ac:dyDescent="0.35">
      <c r="A5" s="8">
        <v>44287</v>
      </c>
      <c r="B5" t="s">
        <v>27</v>
      </c>
      <c r="C5" t="s">
        <v>28</v>
      </c>
      <c r="D5" s="6">
        <v>36854</v>
      </c>
      <c r="E5">
        <v>530</v>
      </c>
      <c r="F5">
        <v>462</v>
      </c>
      <c r="G5">
        <v>68</v>
      </c>
      <c r="H5">
        <v>0.18</v>
      </c>
      <c r="J5">
        <v>2021</v>
      </c>
    </row>
    <row r="6" spans="1:10" x14ac:dyDescent="0.35">
      <c r="A6" s="8">
        <v>44317</v>
      </c>
      <c r="B6" t="s">
        <v>27</v>
      </c>
      <c r="C6" t="s">
        <v>28</v>
      </c>
      <c r="D6" s="6">
        <v>37052</v>
      </c>
      <c r="E6">
        <v>541</v>
      </c>
      <c r="F6">
        <v>343</v>
      </c>
      <c r="G6">
        <v>198</v>
      </c>
      <c r="H6">
        <v>0.54</v>
      </c>
      <c r="J6">
        <v>2021</v>
      </c>
    </row>
    <row r="7" spans="1:10" x14ac:dyDescent="0.35">
      <c r="A7" s="8">
        <v>44348</v>
      </c>
      <c r="B7" t="s">
        <v>27</v>
      </c>
      <c r="C7" t="s">
        <v>28</v>
      </c>
      <c r="D7" s="6">
        <v>37161</v>
      </c>
      <c r="E7">
        <v>458</v>
      </c>
      <c r="F7">
        <v>349</v>
      </c>
      <c r="G7">
        <v>109</v>
      </c>
      <c r="H7">
        <v>0.28999999999999998</v>
      </c>
      <c r="J7">
        <v>2021</v>
      </c>
    </row>
    <row r="8" spans="1:10" x14ac:dyDescent="0.35">
      <c r="A8" s="8">
        <v>44378</v>
      </c>
      <c r="B8" t="s">
        <v>27</v>
      </c>
      <c r="C8" t="s">
        <v>28</v>
      </c>
      <c r="D8" s="6">
        <v>37277</v>
      </c>
      <c r="E8">
        <v>423</v>
      </c>
      <c r="F8">
        <v>307</v>
      </c>
      <c r="G8">
        <v>116</v>
      </c>
      <c r="H8">
        <v>0.31</v>
      </c>
      <c r="J8">
        <v>2021</v>
      </c>
    </row>
    <row r="9" spans="1:10" x14ac:dyDescent="0.35">
      <c r="A9" s="8">
        <v>44409</v>
      </c>
      <c r="B9" t="s">
        <v>27</v>
      </c>
      <c r="C9" t="s">
        <v>28</v>
      </c>
      <c r="D9" s="6">
        <v>37434</v>
      </c>
      <c r="E9">
        <v>521</v>
      </c>
      <c r="F9">
        <v>364</v>
      </c>
      <c r="G9">
        <v>157</v>
      </c>
      <c r="H9">
        <v>0.42</v>
      </c>
      <c r="J9">
        <v>2021</v>
      </c>
    </row>
    <row r="10" spans="1:10" x14ac:dyDescent="0.35">
      <c r="A10" s="8">
        <v>44440</v>
      </c>
      <c r="B10" t="s">
        <v>27</v>
      </c>
      <c r="C10" t="s">
        <v>28</v>
      </c>
      <c r="D10" s="6">
        <v>37508</v>
      </c>
      <c r="E10">
        <v>395</v>
      </c>
      <c r="F10">
        <v>321</v>
      </c>
      <c r="G10">
        <v>74</v>
      </c>
      <c r="H10">
        <v>0.2</v>
      </c>
      <c r="J10">
        <v>2021</v>
      </c>
    </row>
    <row r="11" spans="1:10" x14ac:dyDescent="0.35">
      <c r="A11" s="8">
        <v>44470</v>
      </c>
      <c r="B11" t="s">
        <v>27</v>
      </c>
      <c r="C11" t="s">
        <v>28</v>
      </c>
      <c r="D11" s="6">
        <v>37365</v>
      </c>
      <c r="E11">
        <v>374</v>
      </c>
      <c r="F11">
        <v>561</v>
      </c>
      <c r="G11">
        <v>-143</v>
      </c>
      <c r="H11">
        <v>-0.38</v>
      </c>
      <c r="J11">
        <v>2021</v>
      </c>
    </row>
    <row r="12" spans="1:10" x14ac:dyDescent="0.35">
      <c r="A12" s="8">
        <v>44501</v>
      </c>
      <c r="B12" t="s">
        <v>27</v>
      </c>
      <c r="C12" t="s">
        <v>28</v>
      </c>
      <c r="D12" s="6">
        <v>37460</v>
      </c>
      <c r="E12">
        <v>456</v>
      </c>
      <c r="F12">
        <v>361</v>
      </c>
      <c r="G12">
        <v>95</v>
      </c>
      <c r="H12">
        <v>0.25</v>
      </c>
      <c r="J12">
        <v>2021</v>
      </c>
    </row>
    <row r="13" spans="1:10" x14ac:dyDescent="0.35">
      <c r="A13" s="8">
        <v>44531</v>
      </c>
      <c r="B13" t="s">
        <v>27</v>
      </c>
      <c r="C13" t="s">
        <v>28</v>
      </c>
      <c r="D13" s="6">
        <v>37520</v>
      </c>
      <c r="E13">
        <v>426</v>
      </c>
      <c r="F13">
        <v>366</v>
      </c>
      <c r="G13">
        <v>60</v>
      </c>
      <c r="H13">
        <v>0.16</v>
      </c>
      <c r="J13">
        <v>2021</v>
      </c>
    </row>
    <row r="14" spans="1:10" x14ac:dyDescent="0.35">
      <c r="A14" s="8">
        <v>44562</v>
      </c>
      <c r="B14" t="s">
        <v>27</v>
      </c>
      <c r="C14" t="s">
        <v>28</v>
      </c>
      <c r="D14" s="6">
        <v>40579</v>
      </c>
      <c r="E14">
        <v>3483</v>
      </c>
      <c r="F14">
        <v>424</v>
      </c>
      <c r="G14">
        <v>3059</v>
      </c>
      <c r="H14">
        <v>8.15</v>
      </c>
      <c r="I14">
        <v>7.15</v>
      </c>
      <c r="J14">
        <v>2022</v>
      </c>
    </row>
    <row r="15" spans="1:10" x14ac:dyDescent="0.35">
      <c r="A15" s="8">
        <v>44593</v>
      </c>
      <c r="B15" t="s">
        <v>27</v>
      </c>
      <c r="C15" t="s">
        <v>28</v>
      </c>
      <c r="D15" s="6">
        <v>39929</v>
      </c>
      <c r="E15">
        <v>407</v>
      </c>
      <c r="F15">
        <v>1057</v>
      </c>
      <c r="G15">
        <v>-650</v>
      </c>
      <c r="H15">
        <v>-1.6</v>
      </c>
      <c r="I15">
        <v>6.67</v>
      </c>
      <c r="J15">
        <v>2022</v>
      </c>
    </row>
    <row r="16" spans="1:10" x14ac:dyDescent="0.35">
      <c r="A16" s="8">
        <v>44621</v>
      </c>
      <c r="B16" t="s">
        <v>27</v>
      </c>
      <c r="C16" t="s">
        <v>28</v>
      </c>
      <c r="D16" s="6">
        <v>39203</v>
      </c>
      <c r="E16">
        <v>413</v>
      </c>
      <c r="F16">
        <v>1139</v>
      </c>
      <c r="G16">
        <v>-726</v>
      </c>
      <c r="H16">
        <v>-1.82</v>
      </c>
      <c r="I16">
        <v>6.57</v>
      </c>
      <c r="J16">
        <v>2022</v>
      </c>
    </row>
    <row r="17" spans="1:10" x14ac:dyDescent="0.35">
      <c r="A17" s="8">
        <v>44652</v>
      </c>
      <c r="B17" t="s">
        <v>27</v>
      </c>
      <c r="C17" t="s">
        <v>28</v>
      </c>
      <c r="D17" s="6">
        <v>39331</v>
      </c>
      <c r="E17">
        <v>539</v>
      </c>
      <c r="F17">
        <v>411</v>
      </c>
      <c r="G17">
        <v>128</v>
      </c>
      <c r="H17">
        <v>0.33</v>
      </c>
      <c r="I17">
        <v>6.72</v>
      </c>
      <c r="J17">
        <v>2022</v>
      </c>
    </row>
    <row r="18" spans="1:10" x14ac:dyDescent="0.35">
      <c r="A18" s="8">
        <v>44682</v>
      </c>
      <c r="B18" t="s">
        <v>27</v>
      </c>
      <c r="C18" t="s">
        <v>28</v>
      </c>
      <c r="D18" s="6">
        <v>39421</v>
      </c>
      <c r="E18">
        <v>469</v>
      </c>
      <c r="F18">
        <v>381</v>
      </c>
      <c r="G18">
        <v>90</v>
      </c>
      <c r="H18">
        <v>0.23</v>
      </c>
      <c r="I18">
        <v>6.39</v>
      </c>
      <c r="J18">
        <v>2022</v>
      </c>
    </row>
    <row r="19" spans="1:10" x14ac:dyDescent="0.35">
      <c r="A19" s="8">
        <v>44713</v>
      </c>
      <c r="B19" t="s">
        <v>27</v>
      </c>
      <c r="C19" t="s">
        <v>28</v>
      </c>
      <c r="D19" s="6">
        <v>39643</v>
      </c>
      <c r="E19">
        <v>479</v>
      </c>
      <c r="F19">
        <v>257</v>
      </c>
      <c r="G19">
        <v>222</v>
      </c>
      <c r="H19">
        <v>0.56000000000000005</v>
      </c>
      <c r="I19">
        <v>6.68</v>
      </c>
      <c r="J19">
        <v>2022</v>
      </c>
    </row>
    <row r="20" spans="1:10" x14ac:dyDescent="0.35">
      <c r="A20" s="8">
        <v>44743</v>
      </c>
      <c r="B20" t="s">
        <v>27</v>
      </c>
      <c r="C20" t="s">
        <v>28</v>
      </c>
      <c r="D20" s="6">
        <v>39416</v>
      </c>
      <c r="E20">
        <v>401</v>
      </c>
      <c r="F20">
        <v>628</v>
      </c>
      <c r="G20">
        <v>-227</v>
      </c>
      <c r="H20">
        <v>-0.56999999999999995</v>
      </c>
      <c r="I20">
        <v>5.74</v>
      </c>
      <c r="J20">
        <v>2022</v>
      </c>
    </row>
    <row r="21" spans="1:10" x14ac:dyDescent="0.35">
      <c r="A21" s="8">
        <v>44774</v>
      </c>
      <c r="B21" t="s">
        <v>27</v>
      </c>
      <c r="C21" t="s">
        <v>28</v>
      </c>
      <c r="D21" s="6">
        <v>39443</v>
      </c>
      <c r="E21">
        <v>402</v>
      </c>
      <c r="F21">
        <v>375</v>
      </c>
      <c r="G21">
        <v>27</v>
      </c>
      <c r="H21">
        <v>7.0000000000000007E-2</v>
      </c>
      <c r="I21">
        <v>5.37</v>
      </c>
      <c r="J21">
        <v>2022</v>
      </c>
    </row>
    <row r="22" spans="1:10" x14ac:dyDescent="0.35">
      <c r="A22" s="8">
        <v>44805</v>
      </c>
      <c r="B22" t="s">
        <v>27</v>
      </c>
      <c r="C22" t="s">
        <v>28</v>
      </c>
      <c r="D22" s="6">
        <v>39431</v>
      </c>
      <c r="E22">
        <v>437</v>
      </c>
      <c r="F22">
        <v>449</v>
      </c>
      <c r="G22">
        <v>-12</v>
      </c>
      <c r="H22">
        <v>-0.03</v>
      </c>
      <c r="I22">
        <v>5.13</v>
      </c>
      <c r="J22">
        <v>2022</v>
      </c>
    </row>
    <row r="23" spans="1:10" x14ac:dyDescent="0.35">
      <c r="A23" s="8">
        <v>44835</v>
      </c>
      <c r="B23" t="s">
        <v>27</v>
      </c>
      <c r="C23" t="s">
        <v>28</v>
      </c>
      <c r="D23" s="6">
        <v>39572</v>
      </c>
      <c r="E23">
        <v>556</v>
      </c>
      <c r="F23">
        <v>415</v>
      </c>
      <c r="G23">
        <v>141</v>
      </c>
      <c r="H23">
        <v>0.36</v>
      </c>
      <c r="I23">
        <v>5.91</v>
      </c>
      <c r="J23">
        <v>2022</v>
      </c>
    </row>
    <row r="24" spans="1:10" x14ac:dyDescent="0.35">
      <c r="A24" s="8">
        <v>44866</v>
      </c>
      <c r="B24" t="s">
        <v>27</v>
      </c>
      <c r="C24" t="s">
        <v>28</v>
      </c>
      <c r="D24" s="6">
        <v>39713</v>
      </c>
      <c r="E24">
        <v>501</v>
      </c>
      <c r="F24">
        <v>360</v>
      </c>
      <c r="G24">
        <v>141</v>
      </c>
      <c r="H24">
        <v>0.36</v>
      </c>
      <c r="I24">
        <v>6.01</v>
      </c>
      <c r="J24">
        <v>2022</v>
      </c>
    </row>
    <row r="25" spans="1:10" x14ac:dyDescent="0.35">
      <c r="A25" s="8">
        <v>44896</v>
      </c>
      <c r="B25" t="s">
        <v>27</v>
      </c>
      <c r="C25" t="s">
        <v>28</v>
      </c>
      <c r="D25" s="6">
        <v>39713</v>
      </c>
      <c r="E25">
        <v>468</v>
      </c>
      <c r="F25">
        <v>494</v>
      </c>
      <c r="G25">
        <v>0</v>
      </c>
      <c r="H25">
        <v>0</v>
      </c>
      <c r="I25">
        <v>5.84</v>
      </c>
      <c r="J25">
        <v>2022</v>
      </c>
    </row>
    <row r="26" spans="1:10" x14ac:dyDescent="0.35">
      <c r="A26" s="8">
        <v>44927</v>
      </c>
      <c r="B26" t="s">
        <v>27</v>
      </c>
      <c r="C26" t="s">
        <v>28</v>
      </c>
      <c r="D26" s="6">
        <v>42749</v>
      </c>
      <c r="E26">
        <v>3518</v>
      </c>
      <c r="F26">
        <v>482</v>
      </c>
      <c r="G26">
        <v>3036</v>
      </c>
      <c r="H26">
        <v>7.64</v>
      </c>
      <c r="I26">
        <v>5.35</v>
      </c>
      <c r="J26">
        <v>2023</v>
      </c>
    </row>
    <row r="27" spans="1:10" x14ac:dyDescent="0.35">
      <c r="A27" s="8">
        <v>44958</v>
      </c>
      <c r="B27" t="s">
        <v>27</v>
      </c>
      <c r="C27" t="s">
        <v>28</v>
      </c>
      <c r="D27" s="6">
        <v>42053</v>
      </c>
      <c r="E27">
        <v>441</v>
      </c>
      <c r="F27">
        <v>1137</v>
      </c>
      <c r="G27">
        <v>-696</v>
      </c>
      <c r="H27">
        <v>-1.63</v>
      </c>
      <c r="I27">
        <v>5.32</v>
      </c>
      <c r="J27">
        <v>2023</v>
      </c>
    </row>
    <row r="28" spans="1:10" x14ac:dyDescent="0.35">
      <c r="A28" s="8">
        <v>44986</v>
      </c>
      <c r="B28" t="s">
        <v>27</v>
      </c>
      <c r="C28" t="s">
        <v>28</v>
      </c>
      <c r="D28" s="6">
        <v>41254</v>
      </c>
      <c r="E28">
        <v>375</v>
      </c>
      <c r="F28">
        <v>1174</v>
      </c>
      <c r="G28">
        <v>-799</v>
      </c>
      <c r="H28">
        <v>-1.9</v>
      </c>
      <c r="I28">
        <v>5.23</v>
      </c>
      <c r="J28">
        <v>2023</v>
      </c>
    </row>
    <row r="29" spans="1:10" x14ac:dyDescent="0.35">
      <c r="A29" s="8">
        <v>45017</v>
      </c>
      <c r="B29" t="s">
        <v>27</v>
      </c>
      <c r="C29" t="s">
        <v>28</v>
      </c>
      <c r="D29" s="6">
        <v>41360</v>
      </c>
      <c r="E29">
        <v>521</v>
      </c>
      <c r="F29">
        <v>415</v>
      </c>
      <c r="G29">
        <v>106</v>
      </c>
      <c r="H29">
        <v>0.26</v>
      </c>
      <c r="I29">
        <v>5.16</v>
      </c>
      <c r="J29">
        <v>2023</v>
      </c>
    </row>
    <row r="30" spans="1:10" x14ac:dyDescent="0.35">
      <c r="A30" s="8">
        <v>45047</v>
      </c>
      <c r="B30" t="s">
        <v>27</v>
      </c>
      <c r="C30" t="s">
        <v>28</v>
      </c>
      <c r="D30" s="6">
        <v>41663</v>
      </c>
      <c r="E30">
        <v>556</v>
      </c>
      <c r="F30">
        <v>253</v>
      </c>
      <c r="G30">
        <v>303</v>
      </c>
      <c r="H30">
        <v>0.73</v>
      </c>
      <c r="I30">
        <v>5.69</v>
      </c>
      <c r="J30">
        <v>2023</v>
      </c>
    </row>
    <row r="31" spans="1:10" x14ac:dyDescent="0.35">
      <c r="A31" s="8">
        <v>45078</v>
      </c>
      <c r="B31" t="s">
        <v>27</v>
      </c>
      <c r="C31" t="s">
        <v>28</v>
      </c>
      <c r="D31" s="6">
        <v>41866</v>
      </c>
      <c r="E31">
        <v>606</v>
      </c>
      <c r="F31">
        <v>414</v>
      </c>
      <c r="G31">
        <v>203</v>
      </c>
      <c r="H31">
        <v>0.49</v>
      </c>
      <c r="I31">
        <v>5.61</v>
      </c>
      <c r="J31">
        <v>2023</v>
      </c>
    </row>
    <row r="32" spans="1:10" x14ac:dyDescent="0.35">
      <c r="A32" s="8">
        <v>45108</v>
      </c>
      <c r="B32" t="s">
        <v>27</v>
      </c>
      <c r="C32" t="s">
        <v>28</v>
      </c>
      <c r="D32" s="6">
        <v>41979</v>
      </c>
      <c r="E32">
        <v>428</v>
      </c>
      <c r="F32">
        <v>315</v>
      </c>
      <c r="G32">
        <v>113</v>
      </c>
      <c r="H32">
        <v>0.27</v>
      </c>
      <c r="I32">
        <v>6.5</v>
      </c>
      <c r="J32">
        <v>2023</v>
      </c>
    </row>
    <row r="33" spans="1:10" x14ac:dyDescent="0.35">
      <c r="A33" s="8">
        <v>45139</v>
      </c>
      <c r="B33" t="s">
        <v>27</v>
      </c>
      <c r="C33" t="s">
        <v>28</v>
      </c>
      <c r="D33" s="6">
        <v>41907</v>
      </c>
      <c r="E33">
        <v>481</v>
      </c>
      <c r="F33">
        <v>553</v>
      </c>
      <c r="G33">
        <v>-72</v>
      </c>
      <c r="H33">
        <v>-0.17</v>
      </c>
      <c r="I33">
        <v>6.25</v>
      </c>
      <c r="J33">
        <v>2023</v>
      </c>
    </row>
    <row r="34" spans="1:10" x14ac:dyDescent="0.35">
      <c r="A34" s="8">
        <v>45170</v>
      </c>
      <c r="B34" t="s">
        <v>27</v>
      </c>
      <c r="C34" t="s">
        <v>28</v>
      </c>
      <c r="D34" s="6">
        <v>42051</v>
      </c>
      <c r="E34">
        <v>631</v>
      </c>
      <c r="F34">
        <v>487</v>
      </c>
      <c r="G34">
        <v>144</v>
      </c>
      <c r="H34">
        <v>0.34</v>
      </c>
      <c r="I34">
        <v>6.64</v>
      </c>
      <c r="J34">
        <v>2023</v>
      </c>
    </row>
    <row r="35" spans="1:10" x14ac:dyDescent="0.35">
      <c r="A35" s="8">
        <v>45200</v>
      </c>
      <c r="B35" t="s">
        <v>27</v>
      </c>
      <c r="C35" t="s">
        <v>28</v>
      </c>
      <c r="D35" s="6">
        <v>42332</v>
      </c>
      <c r="E35">
        <v>576</v>
      </c>
      <c r="F35">
        <v>322</v>
      </c>
      <c r="G35">
        <v>281</v>
      </c>
      <c r="H35">
        <v>0.67</v>
      </c>
      <c r="I35">
        <v>6.97</v>
      </c>
      <c r="J35">
        <v>2023</v>
      </c>
    </row>
    <row r="36" spans="1:10" x14ac:dyDescent="0.35">
      <c r="A36" s="8">
        <v>45231</v>
      </c>
      <c r="B36" t="s">
        <v>27</v>
      </c>
      <c r="C36" t="s">
        <v>28</v>
      </c>
      <c r="D36" s="6">
        <v>42422</v>
      </c>
      <c r="E36">
        <v>510</v>
      </c>
      <c r="F36">
        <v>420</v>
      </c>
      <c r="G36">
        <v>90</v>
      </c>
      <c r="H36">
        <v>0.21</v>
      </c>
      <c r="I36">
        <v>6.82</v>
      </c>
      <c r="J36">
        <v>2023</v>
      </c>
    </row>
    <row r="37" spans="1:10" x14ac:dyDescent="0.35">
      <c r="A37" s="8">
        <v>45261</v>
      </c>
      <c r="B37" t="s">
        <v>27</v>
      </c>
      <c r="C37" t="s">
        <v>28</v>
      </c>
      <c r="D37" s="6">
        <v>42570</v>
      </c>
      <c r="E37">
        <v>499</v>
      </c>
      <c r="F37">
        <v>351</v>
      </c>
      <c r="G37">
        <v>148</v>
      </c>
      <c r="H37">
        <v>0.35</v>
      </c>
      <c r="I37">
        <v>7.19</v>
      </c>
      <c r="J37">
        <v>2023</v>
      </c>
    </row>
    <row r="38" spans="1:10" x14ac:dyDescent="0.35">
      <c r="A38" s="8">
        <v>45292</v>
      </c>
      <c r="B38" t="s">
        <v>27</v>
      </c>
      <c r="C38" t="s">
        <v>28</v>
      </c>
      <c r="D38" s="6">
        <v>46237</v>
      </c>
      <c r="E38">
        <v>3989</v>
      </c>
      <c r="F38">
        <v>342</v>
      </c>
      <c r="G38">
        <v>3667</v>
      </c>
      <c r="H38">
        <v>8.61</v>
      </c>
      <c r="I38">
        <v>8.16</v>
      </c>
      <c r="J38">
        <v>2024</v>
      </c>
    </row>
    <row r="39" spans="1:10" x14ac:dyDescent="0.35">
      <c r="A39" s="8">
        <v>45323</v>
      </c>
      <c r="B39" t="s">
        <v>27</v>
      </c>
      <c r="C39" t="s">
        <v>28</v>
      </c>
      <c r="D39" s="6">
        <v>45355</v>
      </c>
      <c r="E39">
        <v>477</v>
      </c>
      <c r="F39">
        <v>1359</v>
      </c>
      <c r="G39">
        <v>-882</v>
      </c>
      <c r="H39">
        <v>-1.91</v>
      </c>
      <c r="I39">
        <v>7.85</v>
      </c>
      <c r="J39">
        <v>2024</v>
      </c>
    </row>
    <row r="40" spans="1:10" x14ac:dyDescent="0.35">
      <c r="A40" s="8">
        <v>45352</v>
      </c>
      <c r="B40" t="s">
        <v>27</v>
      </c>
      <c r="C40" t="s">
        <v>28</v>
      </c>
      <c r="D40" s="6">
        <v>44280</v>
      </c>
      <c r="E40">
        <v>449</v>
      </c>
      <c r="F40">
        <v>1524</v>
      </c>
      <c r="G40">
        <v>-1075</v>
      </c>
      <c r="H40">
        <v>-2.37</v>
      </c>
      <c r="I40">
        <v>7.34</v>
      </c>
      <c r="J40">
        <v>2024</v>
      </c>
    </row>
    <row r="41" spans="1:10" x14ac:dyDescent="0.35">
      <c r="A41" s="8">
        <v>45383</v>
      </c>
      <c r="B41" t="s">
        <v>27</v>
      </c>
      <c r="C41" t="s">
        <v>28</v>
      </c>
      <c r="D41" s="6">
        <v>44639</v>
      </c>
      <c r="E41">
        <v>618</v>
      </c>
      <c r="F41">
        <v>281</v>
      </c>
      <c r="G41">
        <v>359</v>
      </c>
      <c r="H41">
        <v>0.81</v>
      </c>
      <c r="I41">
        <v>7.93</v>
      </c>
      <c r="J41">
        <v>2024</v>
      </c>
    </row>
    <row r="42" spans="1:10" x14ac:dyDescent="0.35">
      <c r="A42" s="8">
        <v>45413</v>
      </c>
      <c r="B42" t="s">
        <v>27</v>
      </c>
      <c r="C42" t="s">
        <v>28</v>
      </c>
      <c r="D42" s="6">
        <v>44396</v>
      </c>
      <c r="E42">
        <v>376</v>
      </c>
      <c r="F42">
        <v>619</v>
      </c>
      <c r="G42">
        <v>-243</v>
      </c>
      <c r="H42">
        <v>-0.54</v>
      </c>
      <c r="I42">
        <v>6.56</v>
      </c>
      <c r="J42">
        <v>2024</v>
      </c>
    </row>
    <row r="43" spans="1:10" x14ac:dyDescent="0.35">
      <c r="A43" s="8">
        <v>45444</v>
      </c>
      <c r="B43" t="s">
        <v>27</v>
      </c>
      <c r="C43" t="s">
        <v>28</v>
      </c>
      <c r="D43" s="6">
        <v>44679</v>
      </c>
      <c r="E43">
        <v>649</v>
      </c>
      <c r="F43">
        <v>366</v>
      </c>
      <c r="G43">
        <v>283</v>
      </c>
      <c r="H43">
        <v>0.64</v>
      </c>
      <c r="I43">
        <v>6.72</v>
      </c>
      <c r="J43">
        <v>2024</v>
      </c>
    </row>
    <row r="44" spans="1:10" x14ac:dyDescent="0.35">
      <c r="A44" s="8">
        <v>45474</v>
      </c>
      <c r="B44" t="s">
        <v>27</v>
      </c>
      <c r="C44" t="s">
        <v>28</v>
      </c>
      <c r="D44" s="6">
        <v>44903</v>
      </c>
      <c r="E44">
        <v>590</v>
      </c>
      <c r="F44">
        <v>367</v>
      </c>
      <c r="G44">
        <v>224</v>
      </c>
      <c r="H44">
        <v>0.5</v>
      </c>
      <c r="I44">
        <v>6.97</v>
      </c>
      <c r="J44">
        <v>2024</v>
      </c>
    </row>
    <row r="45" spans="1:10" x14ac:dyDescent="0.35">
      <c r="A45" s="8">
        <v>45505</v>
      </c>
      <c r="B45" t="s">
        <v>27</v>
      </c>
      <c r="C45" t="s">
        <v>28</v>
      </c>
      <c r="D45" s="6">
        <v>44662</v>
      </c>
      <c r="E45">
        <v>468</v>
      </c>
      <c r="F45">
        <v>709</v>
      </c>
      <c r="G45">
        <v>-241</v>
      </c>
      <c r="H45">
        <v>-0.54</v>
      </c>
      <c r="I45">
        <v>6.57</v>
      </c>
      <c r="J45">
        <v>2024</v>
      </c>
    </row>
    <row r="46" spans="1:10" x14ac:dyDescent="0.35">
      <c r="A46" s="8">
        <v>45536</v>
      </c>
      <c r="B46" t="s">
        <v>27</v>
      </c>
      <c r="C46" t="s">
        <v>28</v>
      </c>
      <c r="D46" s="6">
        <v>44831</v>
      </c>
      <c r="E46">
        <v>574</v>
      </c>
      <c r="F46">
        <v>419</v>
      </c>
      <c r="G46">
        <v>169</v>
      </c>
      <c r="H46">
        <v>0.38</v>
      </c>
      <c r="I46">
        <v>6.61</v>
      </c>
      <c r="J46">
        <v>2024</v>
      </c>
    </row>
    <row r="47" spans="1:10" x14ac:dyDescent="0.35">
      <c r="A47" s="8">
        <v>45566</v>
      </c>
      <c r="B47" t="s">
        <v>27</v>
      </c>
      <c r="C47" t="s">
        <v>28</v>
      </c>
      <c r="D47" s="6">
        <v>44968</v>
      </c>
      <c r="E47">
        <v>499</v>
      </c>
      <c r="F47">
        <v>362</v>
      </c>
      <c r="G47">
        <v>137</v>
      </c>
      <c r="H47">
        <v>0.31</v>
      </c>
      <c r="I47">
        <v>6.23</v>
      </c>
      <c r="J47">
        <v>2024</v>
      </c>
    </row>
    <row r="48" spans="1:10" x14ac:dyDescent="0.35">
      <c r="A48" s="8">
        <v>45597</v>
      </c>
      <c r="B48" t="s">
        <v>27</v>
      </c>
      <c r="C48" t="s">
        <v>28</v>
      </c>
      <c r="D48" s="6">
        <v>44913</v>
      </c>
      <c r="E48">
        <v>573</v>
      </c>
      <c r="F48">
        <v>628</v>
      </c>
      <c r="G48">
        <v>-55</v>
      </c>
      <c r="H48">
        <v>-0.12</v>
      </c>
      <c r="I48">
        <v>5.87</v>
      </c>
      <c r="J48">
        <v>2024</v>
      </c>
    </row>
    <row r="49" spans="1:10" x14ac:dyDescent="0.35">
      <c r="A49" s="8">
        <v>45627</v>
      </c>
      <c r="B49" t="s">
        <v>27</v>
      </c>
      <c r="C49" t="s">
        <v>28</v>
      </c>
      <c r="D49" s="6">
        <v>45114</v>
      </c>
      <c r="E49">
        <v>546</v>
      </c>
      <c r="F49">
        <v>345</v>
      </c>
      <c r="G49">
        <v>201</v>
      </c>
      <c r="H49">
        <v>0.45</v>
      </c>
      <c r="I49">
        <v>5.98</v>
      </c>
      <c r="J49">
        <v>2024</v>
      </c>
    </row>
    <row r="50" spans="1:10" x14ac:dyDescent="0.35">
      <c r="A50" s="8">
        <v>45658</v>
      </c>
      <c r="B50" t="s">
        <v>27</v>
      </c>
      <c r="C50" t="s">
        <v>28</v>
      </c>
      <c r="D50" s="6">
        <v>48885</v>
      </c>
      <c r="E50">
        <v>4105</v>
      </c>
      <c r="F50">
        <v>358</v>
      </c>
      <c r="G50">
        <v>3771</v>
      </c>
      <c r="H50">
        <v>8.36</v>
      </c>
      <c r="I50">
        <v>5.73</v>
      </c>
      <c r="J50">
        <v>2025</v>
      </c>
    </row>
    <row r="51" spans="1:10" x14ac:dyDescent="0.35">
      <c r="A51" s="8">
        <v>45689</v>
      </c>
      <c r="B51" t="s">
        <v>27</v>
      </c>
      <c r="C51" t="s">
        <v>28</v>
      </c>
      <c r="D51" s="6">
        <v>47943</v>
      </c>
      <c r="E51">
        <v>524</v>
      </c>
      <c r="F51">
        <v>1466</v>
      </c>
      <c r="G51">
        <v>-942</v>
      </c>
      <c r="H51">
        <v>-1.93</v>
      </c>
      <c r="I51">
        <v>5.71</v>
      </c>
      <c r="J51">
        <v>2025</v>
      </c>
    </row>
    <row r="52" spans="1:10" x14ac:dyDescent="0.35">
      <c r="A52" s="8">
        <v>45717</v>
      </c>
      <c r="B52" t="s">
        <v>27</v>
      </c>
      <c r="C52" t="s">
        <v>28</v>
      </c>
      <c r="D52" s="6">
        <v>47116</v>
      </c>
      <c r="E52">
        <v>468</v>
      </c>
      <c r="F52">
        <v>1295</v>
      </c>
      <c r="G52">
        <v>-827</v>
      </c>
      <c r="H52">
        <v>-1.72</v>
      </c>
      <c r="I52">
        <v>6.4</v>
      </c>
      <c r="J52">
        <v>2025</v>
      </c>
    </row>
    <row r="53" spans="1:10" x14ac:dyDescent="0.35">
      <c r="A53" s="8">
        <v>45748</v>
      </c>
      <c r="B53" t="s">
        <v>27</v>
      </c>
      <c r="C53" t="s">
        <v>28</v>
      </c>
      <c r="D53" s="6">
        <v>47018</v>
      </c>
      <c r="E53">
        <v>477</v>
      </c>
      <c r="F53">
        <v>575</v>
      </c>
      <c r="G53">
        <v>-98</v>
      </c>
      <c r="H53">
        <v>-0.21</v>
      </c>
      <c r="I53">
        <v>5.33</v>
      </c>
      <c r="J53">
        <v>2025</v>
      </c>
    </row>
    <row r="54" spans="1:10" x14ac:dyDescent="0.35">
      <c r="A54" s="8">
        <v>45778</v>
      </c>
      <c r="B54" t="s">
        <v>27</v>
      </c>
      <c r="C54" t="s">
        <v>28</v>
      </c>
      <c r="D54" s="6">
        <v>47038</v>
      </c>
      <c r="E54">
        <v>593</v>
      </c>
      <c r="F54">
        <v>573</v>
      </c>
      <c r="G54">
        <v>20</v>
      </c>
      <c r="H54">
        <v>0.04</v>
      </c>
      <c r="I54">
        <v>5.95</v>
      </c>
      <c r="J54">
        <v>2025</v>
      </c>
    </row>
    <row r="55" spans="1:10" x14ac:dyDescent="0.35">
      <c r="A55" s="8">
        <v>45809</v>
      </c>
      <c r="B55" t="s">
        <v>27</v>
      </c>
      <c r="C55" t="s">
        <v>28</v>
      </c>
      <c r="D55" s="6">
        <v>47162</v>
      </c>
      <c r="E55">
        <v>463</v>
      </c>
      <c r="F55">
        <v>339</v>
      </c>
      <c r="G55">
        <v>124</v>
      </c>
      <c r="H55">
        <v>0.26</v>
      </c>
      <c r="I55">
        <v>5.56</v>
      </c>
      <c r="J55">
        <v>2025</v>
      </c>
    </row>
    <row r="56" spans="1:10" x14ac:dyDescent="0.35">
      <c r="A56" s="8">
        <v>45839</v>
      </c>
      <c r="B56" t="s">
        <v>27</v>
      </c>
      <c r="C56" t="s">
        <v>28</v>
      </c>
      <c r="D56" s="6">
        <v>47320</v>
      </c>
      <c r="E56">
        <v>633</v>
      </c>
      <c r="F56">
        <v>475</v>
      </c>
      <c r="G56">
        <v>158</v>
      </c>
      <c r="H56">
        <v>0.34</v>
      </c>
      <c r="I56">
        <v>5.38</v>
      </c>
      <c r="J56">
        <v>2025</v>
      </c>
    </row>
    <row r="57" spans="1:10" x14ac:dyDescent="0.35">
      <c r="A57" s="8">
        <v>45870</v>
      </c>
      <c r="B57" t="s">
        <v>27</v>
      </c>
      <c r="C57" t="s">
        <v>28</v>
      </c>
      <c r="D57" s="6">
        <v>47572</v>
      </c>
      <c r="E57">
        <v>622</v>
      </c>
      <c r="F57">
        <v>370</v>
      </c>
      <c r="G57">
        <v>252</v>
      </c>
      <c r="H57">
        <v>0.53</v>
      </c>
      <c r="I57">
        <v>6.52</v>
      </c>
      <c r="J57">
        <v>2025</v>
      </c>
    </row>
    <row r="58" spans="1:10" x14ac:dyDescent="0.35">
      <c r="A58" s="8">
        <v>45901</v>
      </c>
      <c r="B58" t="s">
        <v>27</v>
      </c>
      <c r="C58" t="s">
        <v>28</v>
      </c>
      <c r="D58" s="6">
        <v>47497</v>
      </c>
      <c r="E58">
        <v>669</v>
      </c>
      <c r="F58">
        <v>744</v>
      </c>
      <c r="G58">
        <v>-75</v>
      </c>
      <c r="H58">
        <v>-0.16</v>
      </c>
      <c r="I58">
        <v>5.95</v>
      </c>
      <c r="J58">
        <v>2025</v>
      </c>
    </row>
    <row r="59" spans="1:10" x14ac:dyDescent="0.35">
      <c r="A59" s="8">
        <v>45931</v>
      </c>
      <c r="B59" t="s">
        <v>27</v>
      </c>
      <c r="C59" t="s">
        <v>28</v>
      </c>
      <c r="D59" s="6">
        <v>47896</v>
      </c>
      <c r="E59">
        <v>502</v>
      </c>
      <c r="F59">
        <v>156</v>
      </c>
      <c r="G59">
        <v>399</v>
      </c>
      <c r="H59">
        <v>0.84</v>
      </c>
      <c r="I59">
        <v>6.51</v>
      </c>
      <c r="J59">
        <v>2025</v>
      </c>
    </row>
    <row r="60" spans="1:10" x14ac:dyDescent="0.35">
      <c r="A60" s="8">
        <v>45962</v>
      </c>
      <c r="B60" t="s">
        <v>27</v>
      </c>
      <c r="C60" t="s">
        <v>28</v>
      </c>
      <c r="D60" s="6">
        <v>47785</v>
      </c>
      <c r="E60">
        <v>557</v>
      </c>
      <c r="F60">
        <v>668</v>
      </c>
      <c r="G60">
        <v>-111</v>
      </c>
      <c r="H60">
        <v>-0.23</v>
      </c>
      <c r="I60">
        <v>6.39</v>
      </c>
      <c r="J60">
        <v>2025</v>
      </c>
    </row>
    <row r="61" spans="1:10" x14ac:dyDescent="0.35">
      <c r="A61" s="8">
        <v>45992</v>
      </c>
      <c r="B61" t="s">
        <v>27</v>
      </c>
      <c r="C61" t="s">
        <v>28</v>
      </c>
      <c r="D61" s="6">
        <v>47830</v>
      </c>
      <c r="E61">
        <v>687</v>
      </c>
      <c r="F61">
        <v>642</v>
      </c>
      <c r="G61">
        <v>45</v>
      </c>
      <c r="H61">
        <v>0.09</v>
      </c>
      <c r="I61">
        <v>6.02</v>
      </c>
      <c r="J61">
        <v>2025</v>
      </c>
    </row>
    <row r="62" spans="1:10" x14ac:dyDescent="0.35">
      <c r="A62" s="8">
        <v>46023</v>
      </c>
      <c r="B62" t="s">
        <v>27</v>
      </c>
      <c r="C62" t="s">
        <v>28</v>
      </c>
      <c r="D62" s="6">
        <v>46990</v>
      </c>
      <c r="E62">
        <v>467</v>
      </c>
      <c r="F62">
        <v>1307</v>
      </c>
      <c r="G62">
        <v>-840</v>
      </c>
      <c r="H62">
        <v>-1.76</v>
      </c>
      <c r="I62">
        <v>-3.88</v>
      </c>
      <c r="J62">
        <v>2026</v>
      </c>
    </row>
    <row r="63" spans="1:10" x14ac:dyDescent="0.35">
      <c r="A63" s="8">
        <v>46054</v>
      </c>
      <c r="B63" t="s">
        <v>27</v>
      </c>
      <c r="C63" t="s">
        <v>28</v>
      </c>
      <c r="D63" s="6">
        <v>45746</v>
      </c>
      <c r="E63">
        <v>432</v>
      </c>
      <c r="F63">
        <v>1676</v>
      </c>
      <c r="G63">
        <v>-1244</v>
      </c>
      <c r="H63">
        <v>-2.65</v>
      </c>
      <c r="I63">
        <v>-4.58</v>
      </c>
      <c r="J63">
        <v>2026</v>
      </c>
    </row>
    <row r="64" spans="1:10" x14ac:dyDescent="0.35">
      <c r="A64" s="8">
        <v>46082</v>
      </c>
      <c r="B64" t="s">
        <v>27</v>
      </c>
      <c r="C64" t="s">
        <v>28</v>
      </c>
      <c r="D64" s="6">
        <v>44810</v>
      </c>
      <c r="E64">
        <v>458</v>
      </c>
      <c r="F64">
        <v>1394</v>
      </c>
      <c r="G64">
        <v>-936</v>
      </c>
      <c r="H64">
        <v>-2.0499999999999998</v>
      </c>
      <c r="I64">
        <v>-4.8899999999999997</v>
      </c>
      <c r="J64">
        <v>2026</v>
      </c>
    </row>
    <row r="65" spans="1:10" x14ac:dyDescent="0.35">
      <c r="A65" s="8">
        <v>46113</v>
      </c>
      <c r="B65" t="s">
        <v>27</v>
      </c>
      <c r="C65" t="s">
        <v>28</v>
      </c>
      <c r="D65" s="6">
        <v>44337</v>
      </c>
      <c r="E65">
        <v>491</v>
      </c>
      <c r="F65">
        <v>964</v>
      </c>
      <c r="G65">
        <v>-473</v>
      </c>
      <c r="H65">
        <v>-1.06</v>
      </c>
      <c r="I65">
        <v>-5.7</v>
      </c>
      <c r="J65">
        <v>2026</v>
      </c>
    </row>
    <row r="66" spans="1:10" x14ac:dyDescent="0.35">
      <c r="A66" s="8">
        <v>46143</v>
      </c>
      <c r="B66" t="s">
        <v>27</v>
      </c>
      <c r="C66" t="s">
        <v>28</v>
      </c>
      <c r="D66" s="6">
        <v>44104</v>
      </c>
      <c r="E66">
        <v>454</v>
      </c>
      <c r="F66">
        <v>687</v>
      </c>
      <c r="G66">
        <v>-233</v>
      </c>
      <c r="H66">
        <v>-0.53</v>
      </c>
      <c r="I66">
        <v>-6.24</v>
      </c>
      <c r="J66">
        <v>2026</v>
      </c>
    </row>
    <row r="67" spans="1:10" x14ac:dyDescent="0.35">
      <c r="A67" s="8">
        <v>46174</v>
      </c>
      <c r="B67" t="s">
        <v>27</v>
      </c>
      <c r="C67" t="s">
        <v>28</v>
      </c>
      <c r="D67" s="6">
        <v>44119</v>
      </c>
      <c r="E67">
        <v>450</v>
      </c>
      <c r="F67">
        <v>435</v>
      </c>
      <c r="G67">
        <v>15</v>
      </c>
      <c r="H67">
        <v>0.03</v>
      </c>
      <c r="I67">
        <v>-6.45</v>
      </c>
      <c r="J67">
        <v>2026</v>
      </c>
    </row>
    <row r="68" spans="1:10" x14ac:dyDescent="0.35">
      <c r="A68" s="8">
        <v>46204</v>
      </c>
      <c r="B68" t="s">
        <v>27</v>
      </c>
      <c r="C68" t="s">
        <v>28</v>
      </c>
      <c r="D68" s="6">
        <v>43791</v>
      </c>
      <c r="E68">
        <v>417</v>
      </c>
      <c r="F68">
        <v>745</v>
      </c>
      <c r="G68">
        <v>-328</v>
      </c>
      <c r="H68">
        <v>-0.74</v>
      </c>
      <c r="I68">
        <v>-7.46</v>
      </c>
      <c r="J68">
        <v>2026</v>
      </c>
    </row>
    <row r="69" spans="1:10" x14ac:dyDescent="0.35">
      <c r="A69" s="8">
        <v>46235</v>
      </c>
      <c r="B69" t="s">
        <v>27</v>
      </c>
      <c r="C69" t="s">
        <v>28</v>
      </c>
      <c r="D69" s="6">
        <v>43504</v>
      </c>
      <c r="E69">
        <v>441</v>
      </c>
      <c r="F69">
        <v>728</v>
      </c>
      <c r="G69">
        <v>-287</v>
      </c>
      <c r="H69">
        <v>-0.66</v>
      </c>
      <c r="I69">
        <v>-8.5500000000000007</v>
      </c>
      <c r="J69">
        <v>2026</v>
      </c>
    </row>
    <row r="70" spans="1:10" x14ac:dyDescent="0.35">
      <c r="A70" s="8">
        <v>46266</v>
      </c>
      <c r="B70" t="s">
        <v>27</v>
      </c>
      <c r="C70" t="s">
        <v>28</v>
      </c>
      <c r="D70" s="6">
        <v>43291</v>
      </c>
      <c r="E70">
        <v>442</v>
      </c>
      <c r="F70">
        <v>655</v>
      </c>
      <c r="G70">
        <v>-213</v>
      </c>
      <c r="H70">
        <v>-0.49</v>
      </c>
      <c r="I70">
        <v>-8.86</v>
      </c>
      <c r="J70">
        <v>2026</v>
      </c>
    </row>
    <row r="71" spans="1:10" x14ac:dyDescent="0.35">
      <c r="A71" s="8">
        <v>44197</v>
      </c>
      <c r="B71" t="s">
        <v>29</v>
      </c>
      <c r="C71" t="s">
        <v>30</v>
      </c>
      <c r="D71" s="6">
        <v>214495</v>
      </c>
      <c r="E71">
        <v>6873</v>
      </c>
      <c r="F71">
        <v>0</v>
      </c>
      <c r="J71">
        <v>2021</v>
      </c>
    </row>
    <row r="72" spans="1:10" x14ac:dyDescent="0.35">
      <c r="A72" s="8">
        <v>44228</v>
      </c>
      <c r="B72" t="s">
        <v>29</v>
      </c>
      <c r="C72" t="s">
        <v>30</v>
      </c>
      <c r="D72" s="6">
        <v>213152</v>
      </c>
      <c r="E72">
        <v>2135</v>
      </c>
      <c r="F72">
        <v>3478</v>
      </c>
      <c r="G72">
        <v>-1343</v>
      </c>
      <c r="H72">
        <v>-0.63</v>
      </c>
      <c r="J72">
        <v>2021</v>
      </c>
    </row>
    <row r="73" spans="1:10" x14ac:dyDescent="0.35">
      <c r="A73" s="8">
        <v>44256</v>
      </c>
      <c r="B73" t="s">
        <v>29</v>
      </c>
      <c r="C73" t="s">
        <v>30</v>
      </c>
      <c r="D73" s="6">
        <v>215285</v>
      </c>
      <c r="E73">
        <v>3264</v>
      </c>
      <c r="F73">
        <v>1190</v>
      </c>
      <c r="G73">
        <v>2133</v>
      </c>
      <c r="H73">
        <v>1</v>
      </c>
      <c r="J73">
        <v>2021</v>
      </c>
    </row>
    <row r="74" spans="1:10" x14ac:dyDescent="0.35">
      <c r="A74" s="8">
        <v>44287</v>
      </c>
      <c r="B74" t="s">
        <v>29</v>
      </c>
      <c r="C74" t="s">
        <v>30</v>
      </c>
      <c r="D74" s="6">
        <v>215166</v>
      </c>
      <c r="E74">
        <v>2106</v>
      </c>
      <c r="F74">
        <v>2225</v>
      </c>
      <c r="G74">
        <v>-119</v>
      </c>
      <c r="H74">
        <v>-0.06</v>
      </c>
      <c r="J74">
        <v>2021</v>
      </c>
    </row>
    <row r="75" spans="1:10" x14ac:dyDescent="0.35">
      <c r="A75" s="8">
        <v>44317</v>
      </c>
      <c r="B75" t="s">
        <v>29</v>
      </c>
      <c r="C75" t="s">
        <v>30</v>
      </c>
      <c r="D75" s="6">
        <v>215426</v>
      </c>
      <c r="E75">
        <v>1967</v>
      </c>
      <c r="F75">
        <v>1707</v>
      </c>
      <c r="G75">
        <v>260</v>
      </c>
      <c r="H75">
        <v>0.12</v>
      </c>
      <c r="J75">
        <v>2021</v>
      </c>
    </row>
    <row r="76" spans="1:10" x14ac:dyDescent="0.35">
      <c r="A76" s="8">
        <v>44348</v>
      </c>
      <c r="B76" t="s">
        <v>29</v>
      </c>
      <c r="C76" t="s">
        <v>30</v>
      </c>
      <c r="D76" s="6">
        <v>214509</v>
      </c>
      <c r="E76">
        <v>2250</v>
      </c>
      <c r="F76">
        <v>3167</v>
      </c>
      <c r="G76">
        <v>-917</v>
      </c>
      <c r="H76">
        <v>-0.43</v>
      </c>
      <c r="J76">
        <v>2021</v>
      </c>
    </row>
    <row r="77" spans="1:10" x14ac:dyDescent="0.35">
      <c r="A77" s="8">
        <v>44378</v>
      </c>
      <c r="B77" t="s">
        <v>29</v>
      </c>
      <c r="C77" t="s">
        <v>30</v>
      </c>
      <c r="D77" s="6">
        <v>214763</v>
      </c>
      <c r="E77">
        <v>2241</v>
      </c>
      <c r="F77">
        <v>1987</v>
      </c>
      <c r="G77">
        <v>254</v>
      </c>
      <c r="H77">
        <v>0.12</v>
      </c>
      <c r="J77">
        <v>2021</v>
      </c>
    </row>
    <row r="78" spans="1:10" x14ac:dyDescent="0.35">
      <c r="A78" s="8">
        <v>44409</v>
      </c>
      <c r="B78" t="s">
        <v>29</v>
      </c>
      <c r="C78" t="s">
        <v>30</v>
      </c>
      <c r="D78" s="6">
        <v>215967</v>
      </c>
      <c r="E78">
        <v>2626</v>
      </c>
      <c r="F78">
        <v>1588</v>
      </c>
      <c r="G78">
        <v>1204</v>
      </c>
      <c r="H78">
        <v>0.56000000000000005</v>
      </c>
      <c r="J78">
        <v>2021</v>
      </c>
    </row>
    <row r="79" spans="1:10" x14ac:dyDescent="0.35">
      <c r="A79" s="8">
        <v>44440</v>
      </c>
      <c r="B79" t="s">
        <v>29</v>
      </c>
      <c r="C79" t="s">
        <v>30</v>
      </c>
      <c r="D79" s="6">
        <v>216418</v>
      </c>
      <c r="E79">
        <v>2341</v>
      </c>
      <c r="F79">
        <v>1966</v>
      </c>
      <c r="G79">
        <v>451</v>
      </c>
      <c r="H79">
        <v>0.21</v>
      </c>
      <c r="J79">
        <v>2021</v>
      </c>
    </row>
    <row r="80" spans="1:10" x14ac:dyDescent="0.35">
      <c r="A80" s="8">
        <v>44470</v>
      </c>
      <c r="B80" t="s">
        <v>29</v>
      </c>
      <c r="C80" t="s">
        <v>30</v>
      </c>
      <c r="D80" s="6">
        <v>215446</v>
      </c>
      <c r="E80">
        <v>2155</v>
      </c>
      <c r="F80">
        <v>3127</v>
      </c>
      <c r="G80">
        <v>-972</v>
      </c>
      <c r="H80">
        <v>-0.45</v>
      </c>
      <c r="J80">
        <v>2021</v>
      </c>
    </row>
    <row r="81" spans="1:10" x14ac:dyDescent="0.35">
      <c r="A81" s="8">
        <v>44501</v>
      </c>
      <c r="B81" t="s">
        <v>29</v>
      </c>
      <c r="C81" t="s">
        <v>30</v>
      </c>
      <c r="D81" s="6">
        <v>214753</v>
      </c>
      <c r="E81">
        <v>2110</v>
      </c>
      <c r="F81">
        <v>2803</v>
      </c>
      <c r="G81">
        <v>-693</v>
      </c>
      <c r="H81">
        <v>-0.32</v>
      </c>
      <c r="J81">
        <v>2021</v>
      </c>
    </row>
    <row r="82" spans="1:10" x14ac:dyDescent="0.35">
      <c r="A82" s="8">
        <v>44531</v>
      </c>
      <c r="B82" t="s">
        <v>29</v>
      </c>
      <c r="C82" t="s">
        <v>30</v>
      </c>
      <c r="D82" s="6">
        <v>214913</v>
      </c>
      <c r="E82">
        <v>2337</v>
      </c>
      <c r="F82">
        <v>2177</v>
      </c>
      <c r="G82">
        <v>160</v>
      </c>
      <c r="H82">
        <v>7.0000000000000007E-2</v>
      </c>
      <c r="J82">
        <v>2021</v>
      </c>
    </row>
    <row r="83" spans="1:10" x14ac:dyDescent="0.35">
      <c r="A83" s="8">
        <v>44562</v>
      </c>
      <c r="B83" t="s">
        <v>29</v>
      </c>
      <c r="C83" t="s">
        <v>30</v>
      </c>
      <c r="D83" s="6">
        <v>219119</v>
      </c>
      <c r="E83">
        <v>6431</v>
      </c>
      <c r="F83">
        <v>2225</v>
      </c>
      <c r="G83">
        <v>4206</v>
      </c>
      <c r="H83">
        <v>1.96</v>
      </c>
      <c r="I83">
        <v>2.16</v>
      </c>
      <c r="J83">
        <v>2022</v>
      </c>
    </row>
    <row r="84" spans="1:10" x14ac:dyDescent="0.35">
      <c r="A84" s="8">
        <v>44593</v>
      </c>
      <c r="B84" t="s">
        <v>29</v>
      </c>
      <c r="C84" t="s">
        <v>30</v>
      </c>
      <c r="D84" s="6">
        <v>219366</v>
      </c>
      <c r="E84">
        <v>2581</v>
      </c>
      <c r="F84">
        <v>2334</v>
      </c>
      <c r="G84">
        <v>247</v>
      </c>
      <c r="H84">
        <v>0.11</v>
      </c>
      <c r="I84">
        <v>2.92</v>
      </c>
      <c r="J84">
        <v>2022</v>
      </c>
    </row>
    <row r="85" spans="1:10" x14ac:dyDescent="0.35">
      <c r="A85" s="8">
        <v>44621</v>
      </c>
      <c r="B85" t="s">
        <v>29</v>
      </c>
      <c r="C85" t="s">
        <v>30</v>
      </c>
      <c r="D85" s="6">
        <v>220338</v>
      </c>
      <c r="E85">
        <v>2477</v>
      </c>
      <c r="F85">
        <v>1505</v>
      </c>
      <c r="G85">
        <v>972</v>
      </c>
      <c r="H85">
        <v>0.44</v>
      </c>
      <c r="I85">
        <v>2.35</v>
      </c>
      <c r="J85">
        <v>2022</v>
      </c>
    </row>
    <row r="86" spans="1:10" x14ac:dyDescent="0.35">
      <c r="A86" s="8">
        <v>44652</v>
      </c>
      <c r="B86" t="s">
        <v>29</v>
      </c>
      <c r="C86" t="s">
        <v>30</v>
      </c>
      <c r="D86" s="6">
        <v>220320</v>
      </c>
      <c r="E86">
        <v>2833</v>
      </c>
      <c r="F86">
        <v>2911</v>
      </c>
      <c r="G86">
        <v>-18</v>
      </c>
      <c r="H86">
        <v>-0.01</v>
      </c>
      <c r="I86">
        <v>2.4</v>
      </c>
      <c r="J86">
        <v>2022</v>
      </c>
    </row>
    <row r="87" spans="1:10" x14ac:dyDescent="0.35">
      <c r="A87" s="8">
        <v>44682</v>
      </c>
      <c r="B87" t="s">
        <v>29</v>
      </c>
      <c r="C87" t="s">
        <v>30</v>
      </c>
      <c r="D87" s="6">
        <v>221022</v>
      </c>
      <c r="E87">
        <v>2492</v>
      </c>
      <c r="F87">
        <v>1790</v>
      </c>
      <c r="G87">
        <v>702</v>
      </c>
      <c r="H87">
        <v>0.32</v>
      </c>
      <c r="I87">
        <v>2.6</v>
      </c>
      <c r="J87">
        <v>2022</v>
      </c>
    </row>
    <row r="88" spans="1:10" x14ac:dyDescent="0.35">
      <c r="A88" s="8">
        <v>44713</v>
      </c>
      <c r="B88" t="s">
        <v>29</v>
      </c>
      <c r="C88" t="s">
        <v>30</v>
      </c>
      <c r="D88" s="6">
        <v>221047</v>
      </c>
      <c r="E88">
        <v>2297</v>
      </c>
      <c r="F88">
        <v>2272</v>
      </c>
      <c r="G88">
        <v>25</v>
      </c>
      <c r="H88">
        <v>0.01</v>
      </c>
      <c r="I88">
        <v>3.05</v>
      </c>
      <c r="J88">
        <v>2022</v>
      </c>
    </row>
    <row r="89" spans="1:10" x14ac:dyDescent="0.35">
      <c r="A89" s="8">
        <v>44743</v>
      </c>
      <c r="B89" t="s">
        <v>29</v>
      </c>
      <c r="C89" t="s">
        <v>30</v>
      </c>
      <c r="D89" s="6">
        <v>221726</v>
      </c>
      <c r="E89">
        <v>2316</v>
      </c>
      <c r="F89">
        <v>1713</v>
      </c>
      <c r="G89">
        <v>679</v>
      </c>
      <c r="H89">
        <v>0.31</v>
      </c>
      <c r="I89">
        <v>3.24</v>
      </c>
      <c r="J89">
        <v>2022</v>
      </c>
    </row>
    <row r="90" spans="1:10" x14ac:dyDescent="0.35">
      <c r="A90" s="8">
        <v>44774</v>
      </c>
      <c r="B90" t="s">
        <v>29</v>
      </c>
      <c r="C90" t="s">
        <v>30</v>
      </c>
      <c r="D90" s="6">
        <v>221634</v>
      </c>
      <c r="E90">
        <v>2652</v>
      </c>
      <c r="F90">
        <v>2744</v>
      </c>
      <c r="G90">
        <v>-92</v>
      </c>
      <c r="H90">
        <v>-0.04</v>
      </c>
      <c r="I90">
        <v>2.62</v>
      </c>
      <c r="J90">
        <v>2022</v>
      </c>
    </row>
    <row r="91" spans="1:10" x14ac:dyDescent="0.35">
      <c r="A91" s="8">
        <v>44805</v>
      </c>
      <c r="B91" t="s">
        <v>29</v>
      </c>
      <c r="C91" t="s">
        <v>30</v>
      </c>
      <c r="D91" s="6">
        <v>220621</v>
      </c>
      <c r="E91">
        <v>2294</v>
      </c>
      <c r="F91">
        <v>3307</v>
      </c>
      <c r="G91">
        <v>-1013</v>
      </c>
      <c r="H91">
        <v>-0.46</v>
      </c>
      <c r="I91">
        <v>1.94</v>
      </c>
      <c r="J91">
        <v>2022</v>
      </c>
    </row>
    <row r="92" spans="1:10" x14ac:dyDescent="0.35">
      <c r="A92" s="8">
        <v>44835</v>
      </c>
      <c r="B92" t="s">
        <v>29</v>
      </c>
      <c r="C92" t="s">
        <v>30</v>
      </c>
      <c r="D92" s="6">
        <v>220191</v>
      </c>
      <c r="E92">
        <v>2177</v>
      </c>
      <c r="F92">
        <v>2607</v>
      </c>
      <c r="G92">
        <v>-430</v>
      </c>
      <c r="H92">
        <v>-0.19</v>
      </c>
      <c r="I92">
        <v>2.2000000000000002</v>
      </c>
      <c r="J92">
        <v>2022</v>
      </c>
    </row>
    <row r="93" spans="1:10" x14ac:dyDescent="0.35">
      <c r="A93" s="8">
        <v>44866</v>
      </c>
      <c r="B93" t="s">
        <v>29</v>
      </c>
      <c r="C93" t="s">
        <v>30</v>
      </c>
      <c r="D93" s="6">
        <v>219808</v>
      </c>
      <c r="E93">
        <v>2029</v>
      </c>
      <c r="F93">
        <v>2412</v>
      </c>
      <c r="G93">
        <v>-383</v>
      </c>
      <c r="H93">
        <v>-0.17</v>
      </c>
      <c r="I93">
        <v>2.35</v>
      </c>
      <c r="J93">
        <v>2022</v>
      </c>
    </row>
    <row r="94" spans="1:10" x14ac:dyDescent="0.35">
      <c r="A94" s="8">
        <v>44896</v>
      </c>
      <c r="B94" t="s">
        <v>29</v>
      </c>
      <c r="C94" t="s">
        <v>30</v>
      </c>
      <c r="D94" s="6">
        <v>220544</v>
      </c>
      <c r="E94">
        <v>2888</v>
      </c>
      <c r="F94">
        <v>2152</v>
      </c>
      <c r="G94">
        <v>736</v>
      </c>
      <c r="H94">
        <v>0.33</v>
      </c>
      <c r="I94">
        <v>2.62</v>
      </c>
      <c r="J94">
        <v>2022</v>
      </c>
    </row>
    <row r="95" spans="1:10" x14ac:dyDescent="0.35">
      <c r="A95" s="8">
        <v>44927</v>
      </c>
      <c r="B95" t="s">
        <v>29</v>
      </c>
      <c r="C95" t="s">
        <v>30</v>
      </c>
      <c r="D95" s="6">
        <v>224976</v>
      </c>
      <c r="E95">
        <v>6696</v>
      </c>
      <c r="F95">
        <v>2264</v>
      </c>
      <c r="G95">
        <v>4432</v>
      </c>
      <c r="H95">
        <v>2.0099999999999998</v>
      </c>
      <c r="I95">
        <v>2.67</v>
      </c>
      <c r="J95">
        <v>2023</v>
      </c>
    </row>
    <row r="96" spans="1:10" x14ac:dyDescent="0.35">
      <c r="A96" s="8">
        <v>44958</v>
      </c>
      <c r="B96" t="s">
        <v>29</v>
      </c>
      <c r="C96" t="s">
        <v>30</v>
      </c>
      <c r="D96" s="6">
        <v>225897</v>
      </c>
      <c r="E96">
        <v>2516</v>
      </c>
      <c r="F96">
        <v>1595</v>
      </c>
      <c r="G96">
        <v>921</v>
      </c>
      <c r="H96">
        <v>0.41</v>
      </c>
      <c r="I96">
        <v>2.98</v>
      </c>
      <c r="J96">
        <v>2023</v>
      </c>
    </row>
    <row r="97" spans="1:10" x14ac:dyDescent="0.35">
      <c r="A97" s="8">
        <v>44986</v>
      </c>
      <c r="B97" t="s">
        <v>29</v>
      </c>
      <c r="C97" t="s">
        <v>30</v>
      </c>
      <c r="D97" s="6">
        <v>224725</v>
      </c>
      <c r="E97">
        <v>2358</v>
      </c>
      <c r="F97">
        <v>3530</v>
      </c>
      <c r="G97">
        <v>-1172</v>
      </c>
      <c r="H97">
        <v>-0.52</v>
      </c>
      <c r="I97">
        <v>1.99</v>
      </c>
      <c r="J97">
        <v>2023</v>
      </c>
    </row>
    <row r="98" spans="1:10" x14ac:dyDescent="0.35">
      <c r="A98" s="8">
        <v>45017</v>
      </c>
      <c r="B98" t="s">
        <v>29</v>
      </c>
      <c r="C98" t="s">
        <v>30</v>
      </c>
      <c r="D98" s="6">
        <v>223946</v>
      </c>
      <c r="E98">
        <v>2368</v>
      </c>
      <c r="F98">
        <v>3147</v>
      </c>
      <c r="G98">
        <v>-779</v>
      </c>
      <c r="H98">
        <v>-0.35</v>
      </c>
      <c r="I98">
        <v>1.65</v>
      </c>
      <c r="J98">
        <v>2023</v>
      </c>
    </row>
    <row r="99" spans="1:10" x14ac:dyDescent="0.35">
      <c r="A99" s="8">
        <v>45047</v>
      </c>
      <c r="B99" t="s">
        <v>29</v>
      </c>
      <c r="C99" t="s">
        <v>30</v>
      </c>
      <c r="D99" s="6">
        <v>224650</v>
      </c>
      <c r="E99">
        <v>2486</v>
      </c>
      <c r="F99">
        <v>1782</v>
      </c>
      <c r="G99">
        <v>704</v>
      </c>
      <c r="H99">
        <v>0.31</v>
      </c>
      <c r="I99">
        <v>1.64</v>
      </c>
      <c r="J99">
        <v>2023</v>
      </c>
    </row>
    <row r="100" spans="1:10" x14ac:dyDescent="0.35">
      <c r="A100" s="8">
        <v>45078</v>
      </c>
      <c r="B100" t="s">
        <v>29</v>
      </c>
      <c r="C100" t="s">
        <v>30</v>
      </c>
      <c r="D100" s="6">
        <v>224740</v>
      </c>
      <c r="E100">
        <v>2285</v>
      </c>
      <c r="F100">
        <v>2195</v>
      </c>
      <c r="G100">
        <v>90</v>
      </c>
      <c r="H100">
        <v>0.04</v>
      </c>
      <c r="I100">
        <v>1.67</v>
      </c>
      <c r="J100">
        <v>2023</v>
      </c>
    </row>
    <row r="101" spans="1:10" x14ac:dyDescent="0.35">
      <c r="A101" s="8">
        <v>45108</v>
      </c>
      <c r="B101" t="s">
        <v>29</v>
      </c>
      <c r="C101" t="s">
        <v>30</v>
      </c>
      <c r="D101" s="6">
        <v>224257</v>
      </c>
      <c r="E101">
        <v>2353</v>
      </c>
      <c r="F101">
        <v>2836</v>
      </c>
      <c r="G101">
        <v>-483</v>
      </c>
      <c r="H101">
        <v>-0.21</v>
      </c>
      <c r="I101">
        <v>1.1399999999999999</v>
      </c>
      <c r="J101">
        <v>2023</v>
      </c>
    </row>
    <row r="102" spans="1:10" x14ac:dyDescent="0.35">
      <c r="A102" s="8">
        <v>45139</v>
      </c>
      <c r="B102" t="s">
        <v>29</v>
      </c>
      <c r="C102" t="s">
        <v>30</v>
      </c>
      <c r="D102" s="6">
        <v>225321</v>
      </c>
      <c r="E102">
        <v>2372</v>
      </c>
      <c r="F102">
        <v>1323</v>
      </c>
      <c r="G102">
        <v>1064</v>
      </c>
      <c r="H102">
        <v>0.47</v>
      </c>
      <c r="I102">
        <v>1.66</v>
      </c>
      <c r="J102">
        <v>2023</v>
      </c>
    </row>
    <row r="103" spans="1:10" x14ac:dyDescent="0.35">
      <c r="A103" s="8">
        <v>45170</v>
      </c>
      <c r="B103" t="s">
        <v>29</v>
      </c>
      <c r="C103" t="s">
        <v>30</v>
      </c>
      <c r="D103" s="6">
        <v>226290</v>
      </c>
      <c r="E103">
        <v>2757</v>
      </c>
      <c r="F103">
        <v>1788</v>
      </c>
      <c r="G103">
        <v>969</v>
      </c>
      <c r="H103">
        <v>0.43</v>
      </c>
      <c r="I103">
        <v>2.57</v>
      </c>
      <c r="J103">
        <v>2023</v>
      </c>
    </row>
    <row r="104" spans="1:10" x14ac:dyDescent="0.35">
      <c r="A104" s="8">
        <v>45200</v>
      </c>
      <c r="B104" t="s">
        <v>29</v>
      </c>
      <c r="C104" t="s">
        <v>30</v>
      </c>
      <c r="D104" s="6">
        <v>226180</v>
      </c>
      <c r="E104">
        <v>2957</v>
      </c>
      <c r="F104">
        <v>3067</v>
      </c>
      <c r="G104">
        <v>-110</v>
      </c>
      <c r="H104">
        <v>-0.05</v>
      </c>
      <c r="I104">
        <v>2.72</v>
      </c>
      <c r="J104">
        <v>2023</v>
      </c>
    </row>
    <row r="105" spans="1:10" x14ac:dyDescent="0.35">
      <c r="A105" s="8">
        <v>45231</v>
      </c>
      <c r="B105" t="s">
        <v>29</v>
      </c>
      <c r="C105" t="s">
        <v>30</v>
      </c>
      <c r="D105" s="6">
        <v>226437</v>
      </c>
      <c r="E105">
        <v>2339</v>
      </c>
      <c r="F105">
        <v>2086</v>
      </c>
      <c r="G105">
        <v>257</v>
      </c>
      <c r="H105">
        <v>0.11</v>
      </c>
      <c r="I105">
        <v>3.02</v>
      </c>
      <c r="J105">
        <v>2023</v>
      </c>
    </row>
    <row r="106" spans="1:10" x14ac:dyDescent="0.35">
      <c r="A106" s="8">
        <v>45261</v>
      </c>
      <c r="B106" t="s">
        <v>29</v>
      </c>
      <c r="C106" t="s">
        <v>30</v>
      </c>
      <c r="D106" s="6">
        <v>226197</v>
      </c>
      <c r="E106">
        <v>2590</v>
      </c>
      <c r="F106">
        <v>2830</v>
      </c>
      <c r="G106">
        <v>-240</v>
      </c>
      <c r="H106">
        <v>-0.11</v>
      </c>
      <c r="I106">
        <v>2.56</v>
      </c>
      <c r="J106">
        <v>2023</v>
      </c>
    </row>
    <row r="107" spans="1:10" x14ac:dyDescent="0.35">
      <c r="A107" s="8">
        <v>45292</v>
      </c>
      <c r="B107" t="s">
        <v>29</v>
      </c>
      <c r="C107" t="s">
        <v>30</v>
      </c>
      <c r="D107" s="6">
        <v>230484</v>
      </c>
      <c r="E107">
        <v>6106</v>
      </c>
      <c r="F107">
        <v>1819</v>
      </c>
      <c r="G107">
        <v>4287</v>
      </c>
      <c r="H107">
        <v>1.9</v>
      </c>
      <c r="I107">
        <v>2.4500000000000002</v>
      </c>
      <c r="J107">
        <v>2024</v>
      </c>
    </row>
    <row r="108" spans="1:10" x14ac:dyDescent="0.35">
      <c r="A108" s="8">
        <v>45323</v>
      </c>
      <c r="B108" t="s">
        <v>29</v>
      </c>
      <c r="C108" t="s">
        <v>30</v>
      </c>
      <c r="D108" s="6">
        <v>229328</v>
      </c>
      <c r="E108">
        <v>2204</v>
      </c>
      <c r="F108">
        <v>3360</v>
      </c>
      <c r="G108">
        <v>-1156</v>
      </c>
      <c r="H108">
        <v>-0.5</v>
      </c>
      <c r="I108">
        <v>1.52</v>
      </c>
      <c r="J108">
        <v>2024</v>
      </c>
    </row>
    <row r="109" spans="1:10" x14ac:dyDescent="0.35">
      <c r="A109" s="8">
        <v>45352</v>
      </c>
      <c r="B109" t="s">
        <v>29</v>
      </c>
      <c r="C109" t="s">
        <v>30</v>
      </c>
      <c r="D109" s="6">
        <v>229130</v>
      </c>
      <c r="E109">
        <v>2641</v>
      </c>
      <c r="F109">
        <v>2839</v>
      </c>
      <c r="G109">
        <v>-198</v>
      </c>
      <c r="H109">
        <v>-0.09</v>
      </c>
      <c r="I109">
        <v>1.96</v>
      </c>
      <c r="J109">
        <v>2024</v>
      </c>
    </row>
    <row r="110" spans="1:10" x14ac:dyDescent="0.35">
      <c r="A110" s="8">
        <v>45383</v>
      </c>
      <c r="B110" t="s">
        <v>29</v>
      </c>
      <c r="C110" t="s">
        <v>30</v>
      </c>
      <c r="D110" s="6">
        <v>229686</v>
      </c>
      <c r="E110">
        <v>2776</v>
      </c>
      <c r="F110">
        <v>2220</v>
      </c>
      <c r="G110">
        <v>556</v>
      </c>
      <c r="H110">
        <v>0.24</v>
      </c>
      <c r="I110">
        <v>2.56</v>
      </c>
      <c r="J110">
        <v>2024</v>
      </c>
    </row>
    <row r="111" spans="1:10" x14ac:dyDescent="0.35">
      <c r="A111" s="8">
        <v>45413</v>
      </c>
      <c r="B111" t="s">
        <v>29</v>
      </c>
      <c r="C111" t="s">
        <v>30</v>
      </c>
      <c r="D111" s="6">
        <v>230715</v>
      </c>
      <c r="E111">
        <v>3396</v>
      </c>
      <c r="F111">
        <v>2367</v>
      </c>
      <c r="G111">
        <v>1029</v>
      </c>
      <c r="H111">
        <v>0.45</v>
      </c>
      <c r="I111">
        <v>2.7</v>
      </c>
      <c r="J111">
        <v>2024</v>
      </c>
    </row>
    <row r="112" spans="1:10" x14ac:dyDescent="0.35">
      <c r="A112" s="8">
        <v>45444</v>
      </c>
      <c r="B112" t="s">
        <v>29</v>
      </c>
      <c r="C112" t="s">
        <v>30</v>
      </c>
      <c r="D112" s="6">
        <v>230028</v>
      </c>
      <c r="E112">
        <v>2366</v>
      </c>
      <c r="F112">
        <v>3053</v>
      </c>
      <c r="G112">
        <v>-687</v>
      </c>
      <c r="H112">
        <v>-0.3</v>
      </c>
      <c r="I112">
        <v>2.35</v>
      </c>
      <c r="J112">
        <v>2024</v>
      </c>
    </row>
    <row r="113" spans="1:10" x14ac:dyDescent="0.35">
      <c r="A113" s="8">
        <v>45474</v>
      </c>
      <c r="B113" t="s">
        <v>29</v>
      </c>
      <c r="C113" t="s">
        <v>30</v>
      </c>
      <c r="D113" s="6">
        <v>231106</v>
      </c>
      <c r="E113">
        <v>2085</v>
      </c>
      <c r="F113">
        <v>1172</v>
      </c>
      <c r="G113">
        <v>1078</v>
      </c>
      <c r="H113">
        <v>0.47</v>
      </c>
      <c r="I113">
        <v>3.05</v>
      </c>
      <c r="J113">
        <v>2024</v>
      </c>
    </row>
    <row r="114" spans="1:10" x14ac:dyDescent="0.35">
      <c r="A114" s="8">
        <v>45505</v>
      </c>
      <c r="B114" t="s">
        <v>29</v>
      </c>
      <c r="C114" t="s">
        <v>30</v>
      </c>
      <c r="D114" s="6">
        <v>231464</v>
      </c>
      <c r="E114">
        <v>2987</v>
      </c>
      <c r="F114">
        <v>2629</v>
      </c>
      <c r="G114">
        <v>358</v>
      </c>
      <c r="H114">
        <v>0.15</v>
      </c>
      <c r="I114">
        <v>2.73</v>
      </c>
      <c r="J114">
        <v>2024</v>
      </c>
    </row>
    <row r="115" spans="1:10" x14ac:dyDescent="0.35">
      <c r="A115" s="8">
        <v>45536</v>
      </c>
      <c r="B115" t="s">
        <v>29</v>
      </c>
      <c r="C115" t="s">
        <v>30</v>
      </c>
      <c r="D115" s="6">
        <v>230744</v>
      </c>
      <c r="E115">
        <v>2346</v>
      </c>
      <c r="F115">
        <v>3066</v>
      </c>
      <c r="G115">
        <v>-720</v>
      </c>
      <c r="H115">
        <v>-0.31</v>
      </c>
      <c r="I115">
        <v>1.97</v>
      </c>
      <c r="J115">
        <v>2024</v>
      </c>
    </row>
    <row r="116" spans="1:10" x14ac:dyDescent="0.35">
      <c r="A116" s="8">
        <v>45566</v>
      </c>
      <c r="B116" t="s">
        <v>29</v>
      </c>
      <c r="C116" t="s">
        <v>30</v>
      </c>
      <c r="D116" s="6">
        <v>231299</v>
      </c>
      <c r="E116">
        <v>2490</v>
      </c>
      <c r="F116">
        <v>1935</v>
      </c>
      <c r="G116">
        <v>555</v>
      </c>
      <c r="H116">
        <v>0.24</v>
      </c>
      <c r="I116">
        <v>2.2599999999999998</v>
      </c>
      <c r="J116">
        <v>2024</v>
      </c>
    </row>
    <row r="117" spans="1:10" x14ac:dyDescent="0.35">
      <c r="A117" s="8">
        <v>45597</v>
      </c>
      <c r="B117" t="s">
        <v>29</v>
      </c>
      <c r="C117" t="s">
        <v>30</v>
      </c>
      <c r="D117" s="6">
        <v>230970</v>
      </c>
      <c r="E117">
        <v>2354</v>
      </c>
      <c r="F117">
        <v>2683</v>
      </c>
      <c r="G117">
        <v>-329</v>
      </c>
      <c r="H117">
        <v>-0.14000000000000001</v>
      </c>
      <c r="I117">
        <v>2</v>
      </c>
      <c r="J117">
        <v>2024</v>
      </c>
    </row>
    <row r="118" spans="1:10" x14ac:dyDescent="0.35">
      <c r="A118" s="8">
        <v>45627</v>
      </c>
      <c r="B118" t="s">
        <v>29</v>
      </c>
      <c r="C118" t="s">
        <v>30</v>
      </c>
      <c r="D118" s="6">
        <v>230880</v>
      </c>
      <c r="E118">
        <v>2336</v>
      </c>
      <c r="F118">
        <v>2426</v>
      </c>
      <c r="G118">
        <v>-90</v>
      </c>
      <c r="H118">
        <v>-0.04</v>
      </c>
      <c r="I118">
        <v>2.0699999999999998</v>
      </c>
      <c r="J118">
        <v>2024</v>
      </c>
    </row>
    <row r="119" spans="1:10" x14ac:dyDescent="0.35">
      <c r="A119" s="8">
        <v>45658</v>
      </c>
      <c r="B119" t="s">
        <v>29</v>
      </c>
      <c r="C119" t="s">
        <v>30</v>
      </c>
      <c r="D119" s="6">
        <v>235971</v>
      </c>
      <c r="E119">
        <v>7171</v>
      </c>
      <c r="F119">
        <v>2080</v>
      </c>
      <c r="G119">
        <v>5091</v>
      </c>
      <c r="H119">
        <v>2.21</v>
      </c>
      <c r="I119">
        <v>2.38</v>
      </c>
      <c r="J119">
        <v>2025</v>
      </c>
    </row>
    <row r="120" spans="1:10" x14ac:dyDescent="0.35">
      <c r="A120" s="8">
        <v>45689</v>
      </c>
      <c r="B120" t="s">
        <v>29</v>
      </c>
      <c r="C120" t="s">
        <v>30</v>
      </c>
      <c r="D120" s="6">
        <v>235643</v>
      </c>
      <c r="E120">
        <v>2858</v>
      </c>
      <c r="F120">
        <v>3186</v>
      </c>
      <c r="G120">
        <v>-328</v>
      </c>
      <c r="H120">
        <v>-0.14000000000000001</v>
      </c>
      <c r="I120">
        <v>2.75</v>
      </c>
      <c r="J120">
        <v>2025</v>
      </c>
    </row>
    <row r="121" spans="1:10" x14ac:dyDescent="0.35">
      <c r="A121" s="8">
        <v>45717</v>
      </c>
      <c r="B121" t="s">
        <v>29</v>
      </c>
      <c r="C121" t="s">
        <v>30</v>
      </c>
      <c r="D121" s="6">
        <v>236078</v>
      </c>
      <c r="E121">
        <v>2505</v>
      </c>
      <c r="F121">
        <v>2070</v>
      </c>
      <c r="G121">
        <v>435</v>
      </c>
      <c r="H121">
        <v>0.18</v>
      </c>
      <c r="I121">
        <v>3.03</v>
      </c>
      <c r="J121">
        <v>2025</v>
      </c>
    </row>
    <row r="122" spans="1:10" x14ac:dyDescent="0.35">
      <c r="A122" s="8">
        <v>45748</v>
      </c>
      <c r="B122" t="s">
        <v>29</v>
      </c>
      <c r="C122" t="s">
        <v>30</v>
      </c>
      <c r="D122" s="6">
        <v>235742</v>
      </c>
      <c r="E122">
        <v>2155</v>
      </c>
      <c r="F122">
        <v>2491</v>
      </c>
      <c r="G122">
        <v>-336</v>
      </c>
      <c r="H122">
        <v>-0.14000000000000001</v>
      </c>
      <c r="I122">
        <v>2.64</v>
      </c>
      <c r="J122">
        <v>2025</v>
      </c>
    </row>
    <row r="123" spans="1:10" x14ac:dyDescent="0.35">
      <c r="A123" s="8">
        <v>45778</v>
      </c>
      <c r="B123" t="s">
        <v>29</v>
      </c>
      <c r="C123" t="s">
        <v>30</v>
      </c>
      <c r="D123" s="6">
        <v>236652</v>
      </c>
      <c r="E123">
        <v>3001</v>
      </c>
      <c r="F123">
        <v>2091</v>
      </c>
      <c r="G123">
        <v>910</v>
      </c>
      <c r="H123">
        <v>0.39</v>
      </c>
      <c r="I123">
        <v>2.57</v>
      </c>
      <c r="J123">
        <v>2025</v>
      </c>
    </row>
    <row r="124" spans="1:10" x14ac:dyDescent="0.35">
      <c r="A124" s="8">
        <v>45809</v>
      </c>
      <c r="B124" t="s">
        <v>29</v>
      </c>
      <c r="C124" t="s">
        <v>30</v>
      </c>
      <c r="D124" s="6">
        <v>236162</v>
      </c>
      <c r="E124">
        <v>2345</v>
      </c>
      <c r="F124">
        <v>2835</v>
      </c>
      <c r="G124">
        <v>-490</v>
      </c>
      <c r="H124">
        <v>-0.21</v>
      </c>
      <c r="I124">
        <v>2.67</v>
      </c>
      <c r="J124">
        <v>2025</v>
      </c>
    </row>
    <row r="125" spans="1:10" x14ac:dyDescent="0.35">
      <c r="A125" s="8">
        <v>45839</v>
      </c>
      <c r="B125" t="s">
        <v>29</v>
      </c>
      <c r="C125" t="s">
        <v>30</v>
      </c>
      <c r="D125" s="6">
        <v>237842</v>
      </c>
      <c r="E125">
        <v>3086</v>
      </c>
      <c r="F125">
        <v>1822</v>
      </c>
      <c r="G125">
        <v>1680</v>
      </c>
      <c r="H125">
        <v>0.71</v>
      </c>
      <c r="I125">
        <v>2.91</v>
      </c>
      <c r="J125">
        <v>2025</v>
      </c>
    </row>
    <row r="126" spans="1:10" x14ac:dyDescent="0.35">
      <c r="A126" s="8">
        <v>45870</v>
      </c>
      <c r="B126" t="s">
        <v>29</v>
      </c>
      <c r="C126" t="s">
        <v>30</v>
      </c>
      <c r="D126" s="6">
        <v>237925</v>
      </c>
      <c r="E126">
        <v>2794</v>
      </c>
      <c r="F126">
        <v>2711</v>
      </c>
      <c r="G126">
        <v>83</v>
      </c>
      <c r="H126">
        <v>0.03</v>
      </c>
      <c r="I126">
        <v>2.79</v>
      </c>
      <c r="J126">
        <v>2025</v>
      </c>
    </row>
    <row r="127" spans="1:10" x14ac:dyDescent="0.35">
      <c r="A127" s="8">
        <v>45901</v>
      </c>
      <c r="B127" t="s">
        <v>29</v>
      </c>
      <c r="C127" t="s">
        <v>30</v>
      </c>
      <c r="D127" s="6">
        <v>237996</v>
      </c>
      <c r="E127">
        <v>2398</v>
      </c>
      <c r="F127">
        <v>2327</v>
      </c>
      <c r="G127">
        <v>71</v>
      </c>
      <c r="H127">
        <v>0.03</v>
      </c>
      <c r="I127">
        <v>3.14</v>
      </c>
      <c r="J127">
        <v>2025</v>
      </c>
    </row>
    <row r="128" spans="1:10" x14ac:dyDescent="0.35">
      <c r="A128" s="8">
        <v>45931</v>
      </c>
      <c r="B128" t="s">
        <v>29</v>
      </c>
      <c r="C128" t="s">
        <v>30</v>
      </c>
      <c r="D128" s="6">
        <v>238282</v>
      </c>
      <c r="E128">
        <v>2291</v>
      </c>
      <c r="F128">
        <v>2068</v>
      </c>
      <c r="G128">
        <v>286</v>
      </c>
      <c r="H128">
        <v>0.12</v>
      </c>
      <c r="I128">
        <v>3.02</v>
      </c>
      <c r="J128">
        <v>2025</v>
      </c>
    </row>
    <row r="129" spans="1:10" x14ac:dyDescent="0.35">
      <c r="A129" s="8">
        <v>45962</v>
      </c>
      <c r="B129" t="s">
        <v>29</v>
      </c>
      <c r="C129" t="s">
        <v>30</v>
      </c>
      <c r="D129" s="6">
        <v>237700</v>
      </c>
      <c r="E129">
        <v>2538</v>
      </c>
      <c r="F129">
        <v>3120</v>
      </c>
      <c r="G129">
        <v>-582</v>
      </c>
      <c r="H129">
        <v>-0.24</v>
      </c>
      <c r="I129">
        <v>2.91</v>
      </c>
      <c r="J129">
        <v>2025</v>
      </c>
    </row>
    <row r="130" spans="1:10" x14ac:dyDescent="0.35">
      <c r="A130" s="8">
        <v>45992</v>
      </c>
      <c r="B130" t="s">
        <v>29</v>
      </c>
      <c r="C130" t="s">
        <v>30</v>
      </c>
      <c r="D130" s="6">
        <v>238772</v>
      </c>
      <c r="E130">
        <v>3032</v>
      </c>
      <c r="F130">
        <v>1960</v>
      </c>
      <c r="G130">
        <v>1072</v>
      </c>
      <c r="H130">
        <v>0.45</v>
      </c>
      <c r="I130">
        <v>3.42</v>
      </c>
      <c r="J130">
        <v>2025</v>
      </c>
    </row>
    <row r="131" spans="1:10" x14ac:dyDescent="0.35">
      <c r="A131" s="8">
        <v>46023</v>
      </c>
      <c r="B131" t="s">
        <v>29</v>
      </c>
      <c r="C131" t="s">
        <v>30</v>
      </c>
      <c r="D131" s="6">
        <v>242603</v>
      </c>
      <c r="E131">
        <v>6926</v>
      </c>
      <c r="F131">
        <v>3095</v>
      </c>
      <c r="G131">
        <v>3831</v>
      </c>
      <c r="H131">
        <v>1.6</v>
      </c>
      <c r="I131">
        <v>2.81</v>
      </c>
      <c r="J131">
        <v>2026</v>
      </c>
    </row>
    <row r="132" spans="1:10" x14ac:dyDescent="0.35">
      <c r="A132" s="8">
        <v>46054</v>
      </c>
      <c r="B132" t="s">
        <v>29</v>
      </c>
      <c r="C132" t="s">
        <v>30</v>
      </c>
      <c r="D132" s="6">
        <v>243627</v>
      </c>
      <c r="E132">
        <v>2439</v>
      </c>
      <c r="F132">
        <v>1415</v>
      </c>
      <c r="G132">
        <v>1024</v>
      </c>
      <c r="H132">
        <v>0.42</v>
      </c>
      <c r="I132">
        <v>3.39</v>
      </c>
      <c r="J132">
        <v>2026</v>
      </c>
    </row>
    <row r="133" spans="1:10" x14ac:dyDescent="0.35">
      <c r="A133" s="8">
        <v>46082</v>
      </c>
      <c r="B133" t="s">
        <v>29</v>
      </c>
      <c r="C133" t="s">
        <v>30</v>
      </c>
      <c r="D133" s="6">
        <v>242475</v>
      </c>
      <c r="E133">
        <v>2276</v>
      </c>
      <c r="F133">
        <v>3428</v>
      </c>
      <c r="G133">
        <v>-1152</v>
      </c>
      <c r="H133">
        <v>-0.47</v>
      </c>
      <c r="I133">
        <v>2.71</v>
      </c>
      <c r="J133">
        <v>2026</v>
      </c>
    </row>
    <row r="134" spans="1:10" x14ac:dyDescent="0.35">
      <c r="A134" s="8">
        <v>46113</v>
      </c>
      <c r="B134" t="s">
        <v>29</v>
      </c>
      <c r="C134" t="s">
        <v>30</v>
      </c>
      <c r="D134" s="6">
        <v>242372</v>
      </c>
      <c r="E134">
        <v>2503</v>
      </c>
      <c r="F134">
        <v>2739</v>
      </c>
      <c r="G134">
        <v>-103</v>
      </c>
      <c r="H134">
        <v>-0.04</v>
      </c>
      <c r="I134">
        <v>2.81</v>
      </c>
      <c r="J134">
        <v>2026</v>
      </c>
    </row>
    <row r="135" spans="1:10" x14ac:dyDescent="0.35">
      <c r="A135" s="8">
        <v>46143</v>
      </c>
      <c r="B135" t="s">
        <v>29</v>
      </c>
      <c r="C135" t="s">
        <v>30</v>
      </c>
      <c r="D135" s="6">
        <v>243264</v>
      </c>
      <c r="E135">
        <v>2437</v>
      </c>
      <c r="F135">
        <v>1817</v>
      </c>
      <c r="G135">
        <v>892</v>
      </c>
      <c r="H135">
        <v>0.37</v>
      </c>
      <c r="I135">
        <v>2.79</v>
      </c>
      <c r="J135">
        <v>2026</v>
      </c>
    </row>
    <row r="136" spans="1:10" x14ac:dyDescent="0.35">
      <c r="A136" s="8">
        <v>46174</v>
      </c>
      <c r="B136" t="s">
        <v>29</v>
      </c>
      <c r="C136" t="s">
        <v>30</v>
      </c>
      <c r="D136" s="6">
        <v>243805</v>
      </c>
      <c r="E136">
        <v>2975</v>
      </c>
      <c r="F136">
        <v>2434</v>
      </c>
      <c r="G136">
        <v>541</v>
      </c>
      <c r="H136">
        <v>0.22</v>
      </c>
      <c r="I136">
        <v>3.24</v>
      </c>
      <c r="J136">
        <v>2026</v>
      </c>
    </row>
    <row r="137" spans="1:10" x14ac:dyDescent="0.35">
      <c r="A137" s="8">
        <v>46204</v>
      </c>
      <c r="B137" t="s">
        <v>29</v>
      </c>
      <c r="C137" t="s">
        <v>30</v>
      </c>
      <c r="D137" s="6">
        <v>242503</v>
      </c>
      <c r="E137">
        <v>2462</v>
      </c>
      <c r="F137">
        <v>3764</v>
      </c>
      <c r="G137">
        <v>-1302</v>
      </c>
      <c r="H137">
        <v>-0.53</v>
      </c>
      <c r="I137">
        <v>1.96</v>
      </c>
      <c r="J137">
        <v>2026</v>
      </c>
    </row>
    <row r="138" spans="1:10" x14ac:dyDescent="0.35">
      <c r="A138" s="8">
        <v>46235</v>
      </c>
      <c r="B138" t="s">
        <v>29</v>
      </c>
      <c r="C138" t="s">
        <v>30</v>
      </c>
      <c r="D138" s="6">
        <v>243769</v>
      </c>
      <c r="E138">
        <v>2314</v>
      </c>
      <c r="F138">
        <v>1048</v>
      </c>
      <c r="G138">
        <v>1266</v>
      </c>
      <c r="H138">
        <v>0.52</v>
      </c>
      <c r="I138">
        <v>2.46</v>
      </c>
      <c r="J138">
        <v>2026</v>
      </c>
    </row>
    <row r="139" spans="1:10" x14ac:dyDescent="0.35">
      <c r="A139" s="8">
        <v>46266</v>
      </c>
      <c r="B139" t="s">
        <v>29</v>
      </c>
      <c r="C139" t="s">
        <v>30</v>
      </c>
      <c r="D139" s="6">
        <v>243580</v>
      </c>
      <c r="E139">
        <v>2356</v>
      </c>
      <c r="F139">
        <v>2613</v>
      </c>
      <c r="G139">
        <v>-189</v>
      </c>
      <c r="H139">
        <v>-0.08</v>
      </c>
      <c r="I139">
        <v>2.35</v>
      </c>
      <c r="J139">
        <v>2026</v>
      </c>
    </row>
    <row r="140" spans="1:10" x14ac:dyDescent="0.35">
      <c r="A140" s="8">
        <v>44197</v>
      </c>
      <c r="B140" t="s">
        <v>2</v>
      </c>
      <c r="C140" t="s">
        <v>31</v>
      </c>
      <c r="D140" s="6">
        <v>65592</v>
      </c>
      <c r="E140">
        <v>4278</v>
      </c>
      <c r="F140">
        <v>0</v>
      </c>
      <c r="J140">
        <v>2021</v>
      </c>
    </row>
    <row r="141" spans="1:10" x14ac:dyDescent="0.35">
      <c r="A141" s="8">
        <v>44228</v>
      </c>
      <c r="B141" t="s">
        <v>2</v>
      </c>
      <c r="C141" t="s">
        <v>31</v>
      </c>
      <c r="D141" s="6">
        <v>64805</v>
      </c>
      <c r="E141">
        <v>666</v>
      </c>
      <c r="F141">
        <v>1453</v>
      </c>
      <c r="G141">
        <v>-787</v>
      </c>
      <c r="H141">
        <v>-1.2</v>
      </c>
      <c r="J141">
        <v>2021</v>
      </c>
    </row>
    <row r="142" spans="1:10" x14ac:dyDescent="0.35">
      <c r="A142" s="8">
        <v>44256</v>
      </c>
      <c r="B142" t="s">
        <v>2</v>
      </c>
      <c r="C142" t="s">
        <v>31</v>
      </c>
      <c r="D142" s="6">
        <v>64146</v>
      </c>
      <c r="E142">
        <v>591</v>
      </c>
      <c r="F142">
        <v>1250</v>
      </c>
      <c r="G142">
        <v>-659</v>
      </c>
      <c r="H142">
        <v>-1.02</v>
      </c>
      <c r="J142">
        <v>2021</v>
      </c>
    </row>
    <row r="143" spans="1:10" x14ac:dyDescent="0.35">
      <c r="A143" s="8">
        <v>44287</v>
      </c>
      <c r="B143" t="s">
        <v>2</v>
      </c>
      <c r="C143" t="s">
        <v>31</v>
      </c>
      <c r="D143" s="6">
        <v>64314</v>
      </c>
      <c r="E143">
        <v>763</v>
      </c>
      <c r="F143">
        <v>595</v>
      </c>
      <c r="G143">
        <v>168</v>
      </c>
      <c r="H143">
        <v>0.26</v>
      </c>
      <c r="J143">
        <v>2021</v>
      </c>
    </row>
    <row r="144" spans="1:10" x14ac:dyDescent="0.35">
      <c r="A144" s="8">
        <v>44317</v>
      </c>
      <c r="B144" t="s">
        <v>2</v>
      </c>
      <c r="C144" t="s">
        <v>31</v>
      </c>
      <c r="D144" s="6">
        <v>64616</v>
      </c>
      <c r="E144">
        <v>1053</v>
      </c>
      <c r="F144">
        <v>751</v>
      </c>
      <c r="G144">
        <v>302</v>
      </c>
      <c r="H144">
        <v>0.47</v>
      </c>
      <c r="J144">
        <v>2021</v>
      </c>
    </row>
    <row r="145" spans="1:10" x14ac:dyDescent="0.35">
      <c r="A145" s="8">
        <v>44348</v>
      </c>
      <c r="B145" t="s">
        <v>2</v>
      </c>
      <c r="C145" t="s">
        <v>31</v>
      </c>
      <c r="D145" s="6">
        <v>65069</v>
      </c>
      <c r="E145">
        <v>1010</v>
      </c>
      <c r="F145">
        <v>557</v>
      </c>
      <c r="G145">
        <v>453</v>
      </c>
      <c r="H145">
        <v>0.7</v>
      </c>
      <c r="J145">
        <v>2021</v>
      </c>
    </row>
    <row r="146" spans="1:10" x14ac:dyDescent="0.35">
      <c r="A146" s="8">
        <v>44378</v>
      </c>
      <c r="B146" t="s">
        <v>2</v>
      </c>
      <c r="C146" t="s">
        <v>31</v>
      </c>
      <c r="D146" s="6">
        <v>65340</v>
      </c>
      <c r="E146">
        <v>996</v>
      </c>
      <c r="F146">
        <v>725</v>
      </c>
      <c r="G146">
        <v>271</v>
      </c>
      <c r="H146">
        <v>0.42</v>
      </c>
      <c r="J146">
        <v>2021</v>
      </c>
    </row>
    <row r="147" spans="1:10" x14ac:dyDescent="0.35">
      <c r="A147" s="8">
        <v>44409</v>
      </c>
      <c r="B147" t="s">
        <v>2</v>
      </c>
      <c r="C147" t="s">
        <v>31</v>
      </c>
      <c r="D147" s="6">
        <v>65488</v>
      </c>
      <c r="E147">
        <v>825</v>
      </c>
      <c r="F147">
        <v>677</v>
      </c>
      <c r="G147">
        <v>148</v>
      </c>
      <c r="H147">
        <v>0.23</v>
      </c>
      <c r="J147">
        <v>2021</v>
      </c>
    </row>
    <row r="148" spans="1:10" x14ac:dyDescent="0.35">
      <c r="A148" s="8">
        <v>44440</v>
      </c>
      <c r="B148" t="s">
        <v>2</v>
      </c>
      <c r="C148" t="s">
        <v>31</v>
      </c>
      <c r="D148" s="6">
        <v>66086</v>
      </c>
      <c r="E148">
        <v>1066</v>
      </c>
      <c r="F148">
        <v>468</v>
      </c>
      <c r="G148">
        <v>598</v>
      </c>
      <c r="H148">
        <v>0.91</v>
      </c>
      <c r="J148">
        <v>2021</v>
      </c>
    </row>
    <row r="149" spans="1:10" x14ac:dyDescent="0.35">
      <c r="A149" s="8">
        <v>44470</v>
      </c>
      <c r="B149" t="s">
        <v>2</v>
      </c>
      <c r="C149" t="s">
        <v>31</v>
      </c>
      <c r="D149" s="6">
        <v>65822</v>
      </c>
      <c r="E149">
        <v>679</v>
      </c>
      <c r="F149">
        <v>943</v>
      </c>
      <c r="G149">
        <v>-264</v>
      </c>
      <c r="H149">
        <v>-0.4</v>
      </c>
      <c r="J149">
        <v>2021</v>
      </c>
    </row>
    <row r="150" spans="1:10" x14ac:dyDescent="0.35">
      <c r="A150" s="8">
        <v>44501</v>
      </c>
      <c r="B150" t="s">
        <v>2</v>
      </c>
      <c r="C150" t="s">
        <v>31</v>
      </c>
      <c r="D150" s="6">
        <v>66163</v>
      </c>
      <c r="E150">
        <v>1036</v>
      </c>
      <c r="F150">
        <v>695</v>
      </c>
      <c r="G150">
        <v>341</v>
      </c>
      <c r="H150">
        <v>0.52</v>
      </c>
      <c r="J150">
        <v>2021</v>
      </c>
    </row>
    <row r="151" spans="1:10" x14ac:dyDescent="0.35">
      <c r="A151" s="8">
        <v>44531</v>
      </c>
      <c r="B151" t="s">
        <v>2</v>
      </c>
      <c r="C151" t="s">
        <v>31</v>
      </c>
      <c r="D151" s="6">
        <v>66079</v>
      </c>
      <c r="E151">
        <v>817</v>
      </c>
      <c r="F151">
        <v>901</v>
      </c>
      <c r="G151">
        <v>-84</v>
      </c>
      <c r="H151">
        <v>-0.13</v>
      </c>
      <c r="J151">
        <v>2021</v>
      </c>
    </row>
    <row r="152" spans="1:10" x14ac:dyDescent="0.35">
      <c r="A152" s="8">
        <v>44562</v>
      </c>
      <c r="B152" t="s">
        <v>2</v>
      </c>
      <c r="C152" t="s">
        <v>31</v>
      </c>
      <c r="D152" s="6">
        <v>70113</v>
      </c>
      <c r="E152">
        <v>4632</v>
      </c>
      <c r="F152">
        <v>598</v>
      </c>
      <c r="G152">
        <v>4034</v>
      </c>
      <c r="H152">
        <v>6.1</v>
      </c>
      <c r="I152">
        <v>6.89</v>
      </c>
      <c r="J152">
        <v>2022</v>
      </c>
    </row>
    <row r="153" spans="1:10" x14ac:dyDescent="0.35">
      <c r="A153" s="8">
        <v>44593</v>
      </c>
      <c r="B153" t="s">
        <v>2</v>
      </c>
      <c r="C153" t="s">
        <v>31</v>
      </c>
      <c r="D153" s="6">
        <v>69422</v>
      </c>
      <c r="E153">
        <v>655</v>
      </c>
      <c r="F153">
        <v>1346</v>
      </c>
      <c r="G153">
        <v>-691</v>
      </c>
      <c r="H153">
        <v>-0.99</v>
      </c>
      <c r="I153">
        <v>7.12</v>
      </c>
      <c r="J153">
        <v>2022</v>
      </c>
    </row>
    <row r="154" spans="1:10" x14ac:dyDescent="0.35">
      <c r="A154" s="8">
        <v>44621</v>
      </c>
      <c r="B154" t="s">
        <v>2</v>
      </c>
      <c r="C154" t="s">
        <v>31</v>
      </c>
      <c r="D154" s="6">
        <v>68791</v>
      </c>
      <c r="E154">
        <v>652</v>
      </c>
      <c r="F154">
        <v>1283</v>
      </c>
      <c r="G154">
        <v>-631</v>
      </c>
      <c r="H154">
        <v>-0.91</v>
      </c>
      <c r="I154">
        <v>7.24</v>
      </c>
      <c r="J154">
        <v>2022</v>
      </c>
    </row>
    <row r="155" spans="1:10" x14ac:dyDescent="0.35">
      <c r="A155" s="8">
        <v>44652</v>
      </c>
      <c r="B155" t="s">
        <v>2</v>
      </c>
      <c r="C155" t="s">
        <v>31</v>
      </c>
      <c r="D155" s="6">
        <v>68772</v>
      </c>
      <c r="E155">
        <v>705</v>
      </c>
      <c r="F155">
        <v>724</v>
      </c>
      <c r="G155">
        <v>-19</v>
      </c>
      <c r="H155">
        <v>-0.03</v>
      </c>
      <c r="I155">
        <v>6.93</v>
      </c>
      <c r="J155">
        <v>2022</v>
      </c>
    </row>
    <row r="156" spans="1:10" x14ac:dyDescent="0.35">
      <c r="A156" s="8">
        <v>44682</v>
      </c>
      <c r="B156" t="s">
        <v>2</v>
      </c>
      <c r="C156" t="s">
        <v>31</v>
      </c>
      <c r="D156" s="6">
        <v>68860</v>
      </c>
      <c r="E156">
        <v>721</v>
      </c>
      <c r="F156">
        <v>633</v>
      </c>
      <c r="G156">
        <v>88</v>
      </c>
      <c r="H156">
        <v>0.13</v>
      </c>
      <c r="I156">
        <v>6.57</v>
      </c>
      <c r="J156">
        <v>2022</v>
      </c>
    </row>
    <row r="157" spans="1:10" x14ac:dyDescent="0.35">
      <c r="A157" s="8">
        <v>44713</v>
      </c>
      <c r="B157" t="s">
        <v>2</v>
      </c>
      <c r="C157" t="s">
        <v>31</v>
      </c>
      <c r="D157" s="6">
        <v>69414</v>
      </c>
      <c r="E157">
        <v>861</v>
      </c>
      <c r="F157">
        <v>326</v>
      </c>
      <c r="G157">
        <v>554</v>
      </c>
      <c r="H157">
        <v>0.8</v>
      </c>
      <c r="I157">
        <v>6.68</v>
      </c>
      <c r="J157">
        <v>2022</v>
      </c>
    </row>
    <row r="158" spans="1:10" x14ac:dyDescent="0.35">
      <c r="A158" s="8">
        <v>44743</v>
      </c>
      <c r="B158" t="s">
        <v>2</v>
      </c>
      <c r="C158" t="s">
        <v>31</v>
      </c>
      <c r="D158" s="6">
        <v>69948</v>
      </c>
      <c r="E158">
        <v>1032</v>
      </c>
      <c r="F158">
        <v>507</v>
      </c>
      <c r="G158">
        <v>534</v>
      </c>
      <c r="H158">
        <v>0.77</v>
      </c>
      <c r="I158">
        <v>7.05</v>
      </c>
      <c r="J158">
        <v>2022</v>
      </c>
    </row>
    <row r="159" spans="1:10" x14ac:dyDescent="0.35">
      <c r="A159" s="8">
        <v>44774</v>
      </c>
      <c r="B159" t="s">
        <v>2</v>
      </c>
      <c r="C159" t="s">
        <v>31</v>
      </c>
      <c r="D159" s="6">
        <v>69650</v>
      </c>
      <c r="E159">
        <v>699</v>
      </c>
      <c r="F159">
        <v>997</v>
      </c>
      <c r="G159">
        <v>-298</v>
      </c>
      <c r="H159">
        <v>-0.43</v>
      </c>
      <c r="I159">
        <v>6.36</v>
      </c>
      <c r="J159">
        <v>2022</v>
      </c>
    </row>
    <row r="160" spans="1:10" x14ac:dyDescent="0.35">
      <c r="A160" s="8">
        <v>44805</v>
      </c>
      <c r="B160" t="s">
        <v>2</v>
      </c>
      <c r="C160" t="s">
        <v>31</v>
      </c>
      <c r="D160" s="6">
        <v>69590</v>
      </c>
      <c r="E160">
        <v>836</v>
      </c>
      <c r="F160">
        <v>896</v>
      </c>
      <c r="G160">
        <v>-60</v>
      </c>
      <c r="H160">
        <v>-0.09</v>
      </c>
      <c r="I160">
        <v>5.3</v>
      </c>
      <c r="J160">
        <v>2022</v>
      </c>
    </row>
    <row r="161" spans="1:10" x14ac:dyDescent="0.35">
      <c r="A161" s="8">
        <v>44835</v>
      </c>
      <c r="B161" t="s">
        <v>2</v>
      </c>
      <c r="C161" t="s">
        <v>31</v>
      </c>
      <c r="D161" s="6">
        <v>70060</v>
      </c>
      <c r="E161">
        <v>790</v>
      </c>
      <c r="F161">
        <v>320</v>
      </c>
      <c r="G161">
        <v>470</v>
      </c>
      <c r="H161">
        <v>0.68</v>
      </c>
      <c r="I161">
        <v>6.44</v>
      </c>
      <c r="J161">
        <v>2022</v>
      </c>
    </row>
    <row r="162" spans="1:10" x14ac:dyDescent="0.35">
      <c r="A162" s="8">
        <v>44866</v>
      </c>
      <c r="B162" t="s">
        <v>2</v>
      </c>
      <c r="C162" t="s">
        <v>31</v>
      </c>
      <c r="D162" s="6">
        <v>70022</v>
      </c>
      <c r="E162">
        <v>863</v>
      </c>
      <c r="F162">
        <v>901</v>
      </c>
      <c r="G162">
        <v>-38</v>
      </c>
      <c r="H162">
        <v>-0.05</v>
      </c>
      <c r="I162">
        <v>5.83</v>
      </c>
      <c r="J162">
        <v>2022</v>
      </c>
    </row>
    <row r="163" spans="1:10" x14ac:dyDescent="0.35">
      <c r="A163" s="8">
        <v>44896</v>
      </c>
      <c r="B163" t="s">
        <v>2</v>
      </c>
      <c r="C163" t="s">
        <v>31</v>
      </c>
      <c r="D163" s="6">
        <v>70137</v>
      </c>
      <c r="E163">
        <v>765</v>
      </c>
      <c r="F163">
        <v>660</v>
      </c>
      <c r="G163">
        <v>115</v>
      </c>
      <c r="H163">
        <v>0.16</v>
      </c>
      <c r="I163">
        <v>6.14</v>
      </c>
      <c r="J163">
        <v>2022</v>
      </c>
    </row>
    <row r="164" spans="1:10" x14ac:dyDescent="0.35">
      <c r="A164" s="8">
        <v>44927</v>
      </c>
      <c r="B164" t="s">
        <v>2</v>
      </c>
      <c r="C164" t="s">
        <v>31</v>
      </c>
      <c r="D164" s="6">
        <v>74339</v>
      </c>
      <c r="E164">
        <v>4972</v>
      </c>
      <c r="F164">
        <v>770</v>
      </c>
      <c r="G164">
        <v>4202</v>
      </c>
      <c r="H164">
        <v>5.99</v>
      </c>
      <c r="I164">
        <v>6.03</v>
      </c>
      <c r="J164">
        <v>2023</v>
      </c>
    </row>
    <row r="165" spans="1:10" x14ac:dyDescent="0.35">
      <c r="A165" s="8">
        <v>44958</v>
      </c>
      <c r="B165" t="s">
        <v>2</v>
      </c>
      <c r="C165" t="s">
        <v>31</v>
      </c>
      <c r="D165" s="6">
        <v>73955</v>
      </c>
      <c r="E165">
        <v>756</v>
      </c>
      <c r="F165">
        <v>1140</v>
      </c>
      <c r="G165">
        <v>-384</v>
      </c>
      <c r="H165">
        <v>-0.52</v>
      </c>
      <c r="I165">
        <v>6.53</v>
      </c>
      <c r="J165">
        <v>2023</v>
      </c>
    </row>
    <row r="166" spans="1:10" x14ac:dyDescent="0.35">
      <c r="A166" s="8">
        <v>44986</v>
      </c>
      <c r="B166" t="s">
        <v>2</v>
      </c>
      <c r="C166" t="s">
        <v>31</v>
      </c>
      <c r="D166" s="6">
        <v>73195</v>
      </c>
      <c r="E166">
        <v>792</v>
      </c>
      <c r="F166">
        <v>1552</v>
      </c>
      <c r="G166">
        <v>-760</v>
      </c>
      <c r="H166">
        <v>-1.03</v>
      </c>
      <c r="I166">
        <v>6.4</v>
      </c>
      <c r="J166">
        <v>2023</v>
      </c>
    </row>
    <row r="167" spans="1:10" x14ac:dyDescent="0.35">
      <c r="A167" s="8">
        <v>45017</v>
      </c>
      <c r="B167" t="s">
        <v>2</v>
      </c>
      <c r="C167" t="s">
        <v>31</v>
      </c>
      <c r="D167" s="6">
        <v>73506</v>
      </c>
      <c r="E167">
        <v>1102</v>
      </c>
      <c r="F167">
        <v>791</v>
      </c>
      <c r="G167">
        <v>311</v>
      </c>
      <c r="H167">
        <v>0.42</v>
      </c>
      <c r="I167">
        <v>6.88</v>
      </c>
      <c r="J167">
        <v>2023</v>
      </c>
    </row>
    <row r="168" spans="1:10" x14ac:dyDescent="0.35">
      <c r="A168" s="8">
        <v>45047</v>
      </c>
      <c r="B168" t="s">
        <v>2</v>
      </c>
      <c r="C168" t="s">
        <v>31</v>
      </c>
      <c r="D168" s="6">
        <v>73994</v>
      </c>
      <c r="E168">
        <v>1253</v>
      </c>
      <c r="F168">
        <v>765</v>
      </c>
      <c r="G168">
        <v>488</v>
      </c>
      <c r="H168">
        <v>0.66</v>
      </c>
      <c r="I168">
        <v>7.46</v>
      </c>
      <c r="J168">
        <v>2023</v>
      </c>
    </row>
    <row r="169" spans="1:10" x14ac:dyDescent="0.35">
      <c r="A169" s="8">
        <v>45078</v>
      </c>
      <c r="B169" t="s">
        <v>2</v>
      </c>
      <c r="C169" t="s">
        <v>31</v>
      </c>
      <c r="D169" s="6">
        <v>74075</v>
      </c>
      <c r="E169">
        <v>845</v>
      </c>
      <c r="F169">
        <v>764</v>
      </c>
      <c r="G169">
        <v>81</v>
      </c>
      <c r="H169">
        <v>0.11</v>
      </c>
      <c r="I169">
        <v>6.71</v>
      </c>
      <c r="J169">
        <v>2023</v>
      </c>
    </row>
    <row r="170" spans="1:10" x14ac:dyDescent="0.35">
      <c r="A170" s="8">
        <v>45108</v>
      </c>
      <c r="B170" t="s">
        <v>2</v>
      </c>
      <c r="C170" t="s">
        <v>31</v>
      </c>
      <c r="D170" s="6">
        <v>74108</v>
      </c>
      <c r="E170">
        <v>763</v>
      </c>
      <c r="F170">
        <v>730</v>
      </c>
      <c r="G170">
        <v>33</v>
      </c>
      <c r="H170">
        <v>0.04</v>
      </c>
      <c r="I170">
        <v>5.95</v>
      </c>
      <c r="J170">
        <v>2023</v>
      </c>
    </row>
    <row r="171" spans="1:10" x14ac:dyDescent="0.35">
      <c r="A171" s="8">
        <v>45139</v>
      </c>
      <c r="B171" t="s">
        <v>2</v>
      </c>
      <c r="C171" t="s">
        <v>31</v>
      </c>
      <c r="D171" s="6">
        <v>74726</v>
      </c>
      <c r="E171">
        <v>1158</v>
      </c>
      <c r="F171">
        <v>540</v>
      </c>
      <c r="G171">
        <v>618</v>
      </c>
      <c r="H171">
        <v>0.83</v>
      </c>
      <c r="I171">
        <v>7.29</v>
      </c>
      <c r="J171">
        <v>2023</v>
      </c>
    </row>
    <row r="172" spans="1:10" x14ac:dyDescent="0.35">
      <c r="A172" s="8">
        <v>45170</v>
      </c>
      <c r="B172" t="s">
        <v>2</v>
      </c>
      <c r="C172" t="s">
        <v>31</v>
      </c>
      <c r="D172" s="6">
        <v>74612</v>
      </c>
      <c r="E172">
        <v>811</v>
      </c>
      <c r="F172">
        <v>925</v>
      </c>
      <c r="G172">
        <v>-114</v>
      </c>
      <c r="H172">
        <v>-0.15</v>
      </c>
      <c r="I172">
        <v>7.22</v>
      </c>
      <c r="J172">
        <v>2023</v>
      </c>
    </row>
    <row r="173" spans="1:10" x14ac:dyDescent="0.35">
      <c r="A173" s="8">
        <v>45200</v>
      </c>
      <c r="B173" t="s">
        <v>2</v>
      </c>
      <c r="C173" t="s">
        <v>31</v>
      </c>
      <c r="D173" s="6">
        <v>75180</v>
      </c>
      <c r="E173">
        <v>1072</v>
      </c>
      <c r="F173">
        <v>559</v>
      </c>
      <c r="G173">
        <v>568</v>
      </c>
      <c r="H173">
        <v>0.76</v>
      </c>
      <c r="I173">
        <v>7.31</v>
      </c>
      <c r="J173">
        <v>2023</v>
      </c>
    </row>
    <row r="174" spans="1:10" x14ac:dyDescent="0.35">
      <c r="A174" s="8">
        <v>45231</v>
      </c>
      <c r="B174" t="s">
        <v>2</v>
      </c>
      <c r="C174" t="s">
        <v>31</v>
      </c>
      <c r="D174" s="6">
        <v>74967</v>
      </c>
      <c r="E174">
        <v>735</v>
      </c>
      <c r="F174">
        <v>948</v>
      </c>
      <c r="G174">
        <v>-213</v>
      </c>
      <c r="H174">
        <v>-0.28000000000000003</v>
      </c>
      <c r="I174">
        <v>7.06</v>
      </c>
      <c r="J174">
        <v>2023</v>
      </c>
    </row>
    <row r="175" spans="1:10" x14ac:dyDescent="0.35">
      <c r="A175" s="8">
        <v>45261</v>
      </c>
      <c r="B175" t="s">
        <v>2</v>
      </c>
      <c r="C175" t="s">
        <v>31</v>
      </c>
      <c r="D175" s="6">
        <v>75207</v>
      </c>
      <c r="E175">
        <v>1052</v>
      </c>
      <c r="F175">
        <v>812</v>
      </c>
      <c r="G175">
        <v>240</v>
      </c>
      <c r="H175">
        <v>0.32</v>
      </c>
      <c r="I175">
        <v>7.23</v>
      </c>
      <c r="J175">
        <v>2023</v>
      </c>
    </row>
    <row r="176" spans="1:10" x14ac:dyDescent="0.35">
      <c r="A176" s="8">
        <v>45292</v>
      </c>
      <c r="B176" t="s">
        <v>2</v>
      </c>
      <c r="C176" t="s">
        <v>31</v>
      </c>
      <c r="D176" s="6">
        <v>79485</v>
      </c>
      <c r="E176">
        <v>4920</v>
      </c>
      <c r="F176">
        <v>642</v>
      </c>
      <c r="G176">
        <v>4278</v>
      </c>
      <c r="H176">
        <v>5.69</v>
      </c>
      <c r="I176">
        <v>6.92</v>
      </c>
      <c r="J176">
        <v>2024</v>
      </c>
    </row>
    <row r="177" spans="1:10" x14ac:dyDescent="0.35">
      <c r="A177" s="8">
        <v>45323</v>
      </c>
      <c r="B177" t="s">
        <v>2</v>
      </c>
      <c r="C177" t="s">
        <v>31</v>
      </c>
      <c r="D177" s="6">
        <v>78547</v>
      </c>
      <c r="E177">
        <v>779</v>
      </c>
      <c r="F177">
        <v>1717</v>
      </c>
      <c r="G177">
        <v>-938</v>
      </c>
      <c r="H177">
        <v>-1.18</v>
      </c>
      <c r="I177">
        <v>6.21</v>
      </c>
      <c r="J177">
        <v>2024</v>
      </c>
    </row>
    <row r="178" spans="1:10" x14ac:dyDescent="0.35">
      <c r="A178" s="8">
        <v>45352</v>
      </c>
      <c r="B178" t="s">
        <v>2</v>
      </c>
      <c r="C178" t="s">
        <v>31</v>
      </c>
      <c r="D178" s="6">
        <v>78018</v>
      </c>
      <c r="E178">
        <v>748</v>
      </c>
      <c r="F178">
        <v>1277</v>
      </c>
      <c r="G178">
        <v>-529</v>
      </c>
      <c r="H178">
        <v>-0.67</v>
      </c>
      <c r="I178">
        <v>6.59</v>
      </c>
      <c r="J178">
        <v>2024</v>
      </c>
    </row>
    <row r="179" spans="1:10" x14ac:dyDescent="0.35">
      <c r="A179" s="8">
        <v>45383</v>
      </c>
      <c r="B179" t="s">
        <v>2</v>
      </c>
      <c r="C179" t="s">
        <v>31</v>
      </c>
      <c r="D179" s="6">
        <v>77808</v>
      </c>
      <c r="E179">
        <v>1045</v>
      </c>
      <c r="F179">
        <v>1255</v>
      </c>
      <c r="G179">
        <v>-210</v>
      </c>
      <c r="H179">
        <v>-0.27</v>
      </c>
      <c r="I179">
        <v>5.85</v>
      </c>
      <c r="J179">
        <v>2024</v>
      </c>
    </row>
    <row r="180" spans="1:10" x14ac:dyDescent="0.35">
      <c r="A180" s="8">
        <v>45413</v>
      </c>
      <c r="B180" t="s">
        <v>2</v>
      </c>
      <c r="C180" t="s">
        <v>31</v>
      </c>
      <c r="D180" s="6">
        <v>78388</v>
      </c>
      <c r="E180">
        <v>1243</v>
      </c>
      <c r="F180">
        <v>663</v>
      </c>
      <c r="G180">
        <v>580</v>
      </c>
      <c r="H180">
        <v>0.75</v>
      </c>
      <c r="I180">
        <v>5.94</v>
      </c>
      <c r="J180">
        <v>2024</v>
      </c>
    </row>
    <row r="181" spans="1:10" x14ac:dyDescent="0.35">
      <c r="A181" s="8">
        <v>45444</v>
      </c>
      <c r="B181" t="s">
        <v>2</v>
      </c>
      <c r="C181" t="s">
        <v>31</v>
      </c>
      <c r="D181" s="6">
        <v>78619</v>
      </c>
      <c r="E181">
        <v>921</v>
      </c>
      <c r="F181">
        <v>690</v>
      </c>
      <c r="G181">
        <v>231</v>
      </c>
      <c r="H181">
        <v>0.28999999999999998</v>
      </c>
      <c r="I181">
        <v>6.13</v>
      </c>
      <c r="J181">
        <v>2024</v>
      </c>
    </row>
    <row r="182" spans="1:10" x14ac:dyDescent="0.35">
      <c r="A182" s="8">
        <v>45474</v>
      </c>
      <c r="B182" t="s">
        <v>2</v>
      </c>
      <c r="C182" t="s">
        <v>31</v>
      </c>
      <c r="D182" s="6">
        <v>78459</v>
      </c>
      <c r="E182">
        <v>781</v>
      </c>
      <c r="F182">
        <v>941</v>
      </c>
      <c r="G182">
        <v>-160</v>
      </c>
      <c r="H182">
        <v>-0.2</v>
      </c>
      <c r="I182">
        <v>5.87</v>
      </c>
      <c r="J182">
        <v>2024</v>
      </c>
    </row>
    <row r="183" spans="1:10" x14ac:dyDescent="0.35">
      <c r="A183" s="8">
        <v>45505</v>
      </c>
      <c r="B183" t="s">
        <v>2</v>
      </c>
      <c r="C183" t="s">
        <v>31</v>
      </c>
      <c r="D183" s="6">
        <v>78764</v>
      </c>
      <c r="E183">
        <v>1103</v>
      </c>
      <c r="F183">
        <v>804</v>
      </c>
      <c r="G183">
        <v>305</v>
      </c>
      <c r="H183">
        <v>0.39</v>
      </c>
      <c r="I183">
        <v>5.4</v>
      </c>
      <c r="J183">
        <v>2024</v>
      </c>
    </row>
    <row r="184" spans="1:10" x14ac:dyDescent="0.35">
      <c r="A184" s="8">
        <v>45536</v>
      </c>
      <c r="B184" t="s">
        <v>2</v>
      </c>
      <c r="C184" t="s">
        <v>31</v>
      </c>
      <c r="D184" s="6">
        <v>79174</v>
      </c>
      <c r="E184">
        <v>1056</v>
      </c>
      <c r="F184">
        <v>646</v>
      </c>
      <c r="G184">
        <v>410</v>
      </c>
      <c r="H184">
        <v>0.52</v>
      </c>
      <c r="I184">
        <v>6.11</v>
      </c>
      <c r="J184">
        <v>2024</v>
      </c>
    </row>
    <row r="185" spans="1:10" x14ac:dyDescent="0.35">
      <c r="A185" s="8">
        <v>45566</v>
      </c>
      <c r="B185" t="s">
        <v>2</v>
      </c>
      <c r="C185" t="s">
        <v>31</v>
      </c>
      <c r="D185" s="6">
        <v>79048</v>
      </c>
      <c r="E185">
        <v>881</v>
      </c>
      <c r="F185">
        <v>1007</v>
      </c>
      <c r="G185">
        <v>-126</v>
      </c>
      <c r="H185">
        <v>-0.16</v>
      </c>
      <c r="I185">
        <v>5.14</v>
      </c>
      <c r="J185">
        <v>2024</v>
      </c>
    </row>
    <row r="186" spans="1:10" x14ac:dyDescent="0.35">
      <c r="A186" s="8">
        <v>45597</v>
      </c>
      <c r="B186" t="s">
        <v>2</v>
      </c>
      <c r="C186" t="s">
        <v>31</v>
      </c>
      <c r="D186" s="6">
        <v>79232</v>
      </c>
      <c r="E186">
        <v>832</v>
      </c>
      <c r="F186">
        <v>648</v>
      </c>
      <c r="G186">
        <v>184</v>
      </c>
      <c r="H186">
        <v>0.23</v>
      </c>
      <c r="I186">
        <v>5.69</v>
      </c>
      <c r="J186">
        <v>2024</v>
      </c>
    </row>
    <row r="187" spans="1:10" x14ac:dyDescent="0.35">
      <c r="A187" s="8">
        <v>45627</v>
      </c>
      <c r="B187" t="s">
        <v>2</v>
      </c>
      <c r="C187" t="s">
        <v>31</v>
      </c>
      <c r="D187" s="6">
        <v>79654</v>
      </c>
      <c r="E187">
        <v>1059</v>
      </c>
      <c r="F187">
        <v>637</v>
      </c>
      <c r="G187">
        <v>422</v>
      </c>
      <c r="H187">
        <v>0.53</v>
      </c>
      <c r="I187">
        <v>5.91</v>
      </c>
      <c r="J187">
        <v>2024</v>
      </c>
    </row>
    <row r="188" spans="1:10" x14ac:dyDescent="0.35">
      <c r="A188" s="8">
        <v>45658</v>
      </c>
      <c r="B188" t="s">
        <v>2</v>
      </c>
      <c r="C188" t="s">
        <v>31</v>
      </c>
      <c r="D188" s="6">
        <v>84152</v>
      </c>
      <c r="E188">
        <v>5419</v>
      </c>
      <c r="F188">
        <v>921</v>
      </c>
      <c r="G188">
        <v>4498</v>
      </c>
      <c r="H188">
        <v>5.65</v>
      </c>
      <c r="I188">
        <v>5.87</v>
      </c>
      <c r="J188">
        <v>2025</v>
      </c>
    </row>
    <row r="189" spans="1:10" x14ac:dyDescent="0.35">
      <c r="A189" s="8">
        <v>45689</v>
      </c>
      <c r="B189" t="s">
        <v>2</v>
      </c>
      <c r="C189" t="s">
        <v>31</v>
      </c>
      <c r="D189" s="6">
        <v>83197</v>
      </c>
      <c r="E189">
        <v>780</v>
      </c>
      <c r="F189">
        <v>1735</v>
      </c>
      <c r="G189">
        <v>-955</v>
      </c>
      <c r="H189">
        <v>-1.1299999999999999</v>
      </c>
      <c r="I189">
        <v>5.92</v>
      </c>
      <c r="J189">
        <v>2025</v>
      </c>
    </row>
    <row r="190" spans="1:10" x14ac:dyDescent="0.35">
      <c r="A190" s="8">
        <v>45717</v>
      </c>
      <c r="B190" t="s">
        <v>2</v>
      </c>
      <c r="C190" t="s">
        <v>31</v>
      </c>
      <c r="D190" s="6">
        <v>82381</v>
      </c>
      <c r="E190">
        <v>836</v>
      </c>
      <c r="F190">
        <v>1652</v>
      </c>
      <c r="G190">
        <v>-816</v>
      </c>
      <c r="H190">
        <v>-0.98</v>
      </c>
      <c r="I190">
        <v>5.59</v>
      </c>
      <c r="J190">
        <v>2025</v>
      </c>
    </row>
    <row r="191" spans="1:10" x14ac:dyDescent="0.35">
      <c r="A191" s="8">
        <v>45748</v>
      </c>
      <c r="B191" t="s">
        <v>2</v>
      </c>
      <c r="C191" t="s">
        <v>31</v>
      </c>
      <c r="D191" s="6">
        <v>82721</v>
      </c>
      <c r="E191">
        <v>1029</v>
      </c>
      <c r="F191">
        <v>689</v>
      </c>
      <c r="G191">
        <v>340</v>
      </c>
      <c r="H191">
        <v>0.41</v>
      </c>
      <c r="I191">
        <v>6.31</v>
      </c>
      <c r="J191">
        <v>2025</v>
      </c>
    </row>
    <row r="192" spans="1:10" x14ac:dyDescent="0.35">
      <c r="A192" s="8">
        <v>45778</v>
      </c>
      <c r="B192" t="s">
        <v>2</v>
      </c>
      <c r="C192" t="s">
        <v>31</v>
      </c>
      <c r="D192" s="6">
        <v>82803</v>
      </c>
      <c r="E192">
        <v>1185</v>
      </c>
      <c r="F192">
        <v>1103</v>
      </c>
      <c r="G192">
        <v>82</v>
      </c>
      <c r="H192">
        <v>0.1</v>
      </c>
      <c r="I192">
        <v>5.63</v>
      </c>
      <c r="J192">
        <v>2025</v>
      </c>
    </row>
    <row r="193" spans="1:10" x14ac:dyDescent="0.35">
      <c r="A193" s="8">
        <v>45809</v>
      </c>
      <c r="B193" t="s">
        <v>2</v>
      </c>
      <c r="C193" t="s">
        <v>31</v>
      </c>
      <c r="D193" s="6">
        <v>83021</v>
      </c>
      <c r="E193">
        <v>911</v>
      </c>
      <c r="F193">
        <v>693</v>
      </c>
      <c r="G193">
        <v>218</v>
      </c>
      <c r="H193">
        <v>0.26</v>
      </c>
      <c r="I193">
        <v>5.6</v>
      </c>
      <c r="J193">
        <v>2025</v>
      </c>
    </row>
    <row r="194" spans="1:10" x14ac:dyDescent="0.35">
      <c r="A194" s="8">
        <v>45839</v>
      </c>
      <c r="B194" t="s">
        <v>2</v>
      </c>
      <c r="C194" t="s">
        <v>31</v>
      </c>
      <c r="D194" s="6">
        <v>83262</v>
      </c>
      <c r="E194">
        <v>1021</v>
      </c>
      <c r="F194">
        <v>780</v>
      </c>
      <c r="G194">
        <v>241</v>
      </c>
      <c r="H194">
        <v>0.28999999999999998</v>
      </c>
      <c r="I194">
        <v>6.12</v>
      </c>
      <c r="J194">
        <v>2025</v>
      </c>
    </row>
    <row r="195" spans="1:10" x14ac:dyDescent="0.35">
      <c r="A195" s="8">
        <v>45870</v>
      </c>
      <c r="B195" t="s">
        <v>2</v>
      </c>
      <c r="C195" t="s">
        <v>31</v>
      </c>
      <c r="D195" s="6">
        <v>83203</v>
      </c>
      <c r="E195">
        <v>1090</v>
      </c>
      <c r="F195">
        <v>1149</v>
      </c>
      <c r="G195">
        <v>-59</v>
      </c>
      <c r="H195">
        <v>-7.0000000000000007E-2</v>
      </c>
      <c r="I195">
        <v>5.64</v>
      </c>
      <c r="J195">
        <v>2025</v>
      </c>
    </row>
    <row r="196" spans="1:10" x14ac:dyDescent="0.35">
      <c r="A196" s="8">
        <v>45901</v>
      </c>
      <c r="B196" t="s">
        <v>2</v>
      </c>
      <c r="C196" t="s">
        <v>31</v>
      </c>
      <c r="D196" s="6">
        <v>83183</v>
      </c>
      <c r="E196">
        <v>914</v>
      </c>
      <c r="F196">
        <v>934</v>
      </c>
      <c r="G196">
        <v>-20</v>
      </c>
      <c r="H196">
        <v>-0.02</v>
      </c>
      <c r="I196">
        <v>5.0599999999999996</v>
      </c>
      <c r="J196">
        <v>2025</v>
      </c>
    </row>
    <row r="197" spans="1:10" x14ac:dyDescent="0.35">
      <c r="A197" s="8">
        <v>45931</v>
      </c>
      <c r="B197" t="s">
        <v>2</v>
      </c>
      <c r="C197" t="s">
        <v>31</v>
      </c>
      <c r="D197" s="6">
        <v>84050</v>
      </c>
      <c r="E197">
        <v>1433</v>
      </c>
      <c r="F197">
        <v>609</v>
      </c>
      <c r="G197">
        <v>867</v>
      </c>
      <c r="H197">
        <v>1.04</v>
      </c>
      <c r="I197">
        <v>6.33</v>
      </c>
      <c r="J197">
        <v>2025</v>
      </c>
    </row>
    <row r="198" spans="1:10" x14ac:dyDescent="0.35">
      <c r="A198" s="8">
        <v>45962</v>
      </c>
      <c r="B198" t="s">
        <v>2</v>
      </c>
      <c r="C198" t="s">
        <v>31</v>
      </c>
      <c r="D198" s="6">
        <v>84433</v>
      </c>
      <c r="E198">
        <v>1164</v>
      </c>
      <c r="F198">
        <v>781</v>
      </c>
      <c r="G198">
        <v>383</v>
      </c>
      <c r="H198">
        <v>0.46</v>
      </c>
      <c r="I198">
        <v>6.56</v>
      </c>
      <c r="J198">
        <v>2025</v>
      </c>
    </row>
    <row r="199" spans="1:10" x14ac:dyDescent="0.35">
      <c r="A199" s="8">
        <v>45992</v>
      </c>
      <c r="B199" t="s">
        <v>2</v>
      </c>
      <c r="C199" t="s">
        <v>31</v>
      </c>
      <c r="D199" s="6">
        <v>84705</v>
      </c>
      <c r="E199">
        <v>1164</v>
      </c>
      <c r="F199">
        <v>919</v>
      </c>
      <c r="G199">
        <v>272</v>
      </c>
      <c r="H199">
        <v>0.32</v>
      </c>
      <c r="I199">
        <v>6.34</v>
      </c>
      <c r="J199">
        <v>2025</v>
      </c>
    </row>
    <row r="200" spans="1:10" x14ac:dyDescent="0.35">
      <c r="A200" s="8">
        <v>46023</v>
      </c>
      <c r="B200" t="s">
        <v>2</v>
      </c>
      <c r="C200" t="s">
        <v>31</v>
      </c>
      <c r="D200" s="6">
        <v>89385</v>
      </c>
      <c r="E200">
        <v>5684</v>
      </c>
      <c r="F200">
        <v>1004</v>
      </c>
      <c r="G200">
        <v>4680</v>
      </c>
      <c r="H200">
        <v>5.53</v>
      </c>
      <c r="I200">
        <v>6.22</v>
      </c>
      <c r="J200">
        <v>2026</v>
      </c>
    </row>
    <row r="201" spans="1:10" x14ac:dyDescent="0.35">
      <c r="A201" s="8">
        <v>46054</v>
      </c>
      <c r="B201" t="s">
        <v>2</v>
      </c>
      <c r="C201" t="s">
        <v>31</v>
      </c>
      <c r="D201" s="6">
        <v>88500</v>
      </c>
      <c r="E201">
        <v>924</v>
      </c>
      <c r="F201">
        <v>1809</v>
      </c>
      <c r="G201">
        <v>-885</v>
      </c>
      <c r="H201">
        <v>-0.99</v>
      </c>
      <c r="I201">
        <v>6.37</v>
      </c>
      <c r="J201">
        <v>2026</v>
      </c>
    </row>
    <row r="202" spans="1:10" x14ac:dyDescent="0.35">
      <c r="A202" s="8">
        <v>46082</v>
      </c>
      <c r="B202" t="s">
        <v>2</v>
      </c>
      <c r="C202" t="s">
        <v>31</v>
      </c>
      <c r="D202" s="6">
        <v>87269</v>
      </c>
      <c r="E202">
        <v>846</v>
      </c>
      <c r="F202">
        <v>2077</v>
      </c>
      <c r="G202">
        <v>-1231</v>
      </c>
      <c r="H202">
        <v>-1.39</v>
      </c>
      <c r="I202">
        <v>5.93</v>
      </c>
      <c r="J202">
        <v>2026</v>
      </c>
    </row>
    <row r="203" spans="1:10" x14ac:dyDescent="0.35">
      <c r="A203" s="8">
        <v>46113</v>
      </c>
      <c r="B203" t="s">
        <v>2</v>
      </c>
      <c r="C203" t="s">
        <v>31</v>
      </c>
      <c r="D203" s="6">
        <v>87577</v>
      </c>
      <c r="E203">
        <v>1023</v>
      </c>
      <c r="F203">
        <v>715</v>
      </c>
      <c r="G203">
        <v>308</v>
      </c>
      <c r="H203">
        <v>0.35</v>
      </c>
      <c r="I203">
        <v>5.87</v>
      </c>
      <c r="J203">
        <v>2026</v>
      </c>
    </row>
    <row r="204" spans="1:10" x14ac:dyDescent="0.35">
      <c r="A204" s="8">
        <v>46143</v>
      </c>
      <c r="B204" t="s">
        <v>2</v>
      </c>
      <c r="C204" t="s">
        <v>31</v>
      </c>
      <c r="D204" s="6">
        <v>88314</v>
      </c>
      <c r="E204">
        <v>1153</v>
      </c>
      <c r="F204">
        <v>448</v>
      </c>
      <c r="G204">
        <v>737</v>
      </c>
      <c r="H204">
        <v>0.84</v>
      </c>
      <c r="I204">
        <v>6.66</v>
      </c>
      <c r="J204">
        <v>2026</v>
      </c>
    </row>
    <row r="205" spans="1:10" x14ac:dyDescent="0.35">
      <c r="A205" s="8">
        <v>46174</v>
      </c>
      <c r="B205" t="s">
        <v>2</v>
      </c>
      <c r="C205" t="s">
        <v>31</v>
      </c>
      <c r="D205" s="6">
        <v>88301</v>
      </c>
      <c r="E205">
        <v>1083</v>
      </c>
      <c r="F205">
        <v>1096</v>
      </c>
      <c r="G205">
        <v>-13</v>
      </c>
      <c r="H205">
        <v>-0.01</v>
      </c>
      <c r="I205">
        <v>6.36</v>
      </c>
      <c r="J205">
        <v>2026</v>
      </c>
    </row>
    <row r="206" spans="1:10" x14ac:dyDescent="0.35">
      <c r="A206" s="8">
        <v>46204</v>
      </c>
      <c r="B206" t="s">
        <v>2</v>
      </c>
      <c r="C206" t="s">
        <v>31</v>
      </c>
      <c r="D206" s="6">
        <v>88260</v>
      </c>
      <c r="E206">
        <v>856</v>
      </c>
      <c r="F206">
        <v>897</v>
      </c>
      <c r="G206">
        <v>-41</v>
      </c>
      <c r="H206">
        <v>-0.05</v>
      </c>
      <c r="I206">
        <v>6</v>
      </c>
      <c r="J206">
        <v>2026</v>
      </c>
    </row>
    <row r="207" spans="1:10" x14ac:dyDescent="0.35">
      <c r="A207" s="8">
        <v>46235</v>
      </c>
      <c r="B207" t="s">
        <v>2</v>
      </c>
      <c r="C207" t="s">
        <v>31</v>
      </c>
      <c r="D207" s="6">
        <v>88188</v>
      </c>
      <c r="E207">
        <v>1270</v>
      </c>
      <c r="F207">
        <v>1342</v>
      </c>
      <c r="G207">
        <v>-72</v>
      </c>
      <c r="H207">
        <v>-0.08</v>
      </c>
      <c r="I207">
        <v>5.99</v>
      </c>
      <c r="J207">
        <v>2026</v>
      </c>
    </row>
    <row r="208" spans="1:10" x14ac:dyDescent="0.35">
      <c r="A208" s="8">
        <v>46266</v>
      </c>
      <c r="B208" t="s">
        <v>2</v>
      </c>
      <c r="C208" t="s">
        <v>31</v>
      </c>
      <c r="D208" s="6">
        <v>88795</v>
      </c>
      <c r="E208">
        <v>1072</v>
      </c>
      <c r="F208">
        <v>465</v>
      </c>
      <c r="G208">
        <v>607</v>
      </c>
      <c r="H208">
        <v>0.69</v>
      </c>
      <c r="I208">
        <v>6.75</v>
      </c>
      <c r="J208">
        <v>2026</v>
      </c>
    </row>
    <row r="209" spans="1:10" x14ac:dyDescent="0.35">
      <c r="A209" s="8">
        <v>44197</v>
      </c>
      <c r="B209" t="s">
        <v>32</v>
      </c>
      <c r="C209" t="s">
        <v>31</v>
      </c>
      <c r="D209" s="6">
        <v>43759</v>
      </c>
      <c r="E209">
        <v>3193</v>
      </c>
      <c r="F209">
        <v>0</v>
      </c>
      <c r="J209">
        <v>2021</v>
      </c>
    </row>
    <row r="210" spans="1:10" x14ac:dyDescent="0.35">
      <c r="A210" s="8">
        <v>44228</v>
      </c>
      <c r="B210" t="s">
        <v>32</v>
      </c>
      <c r="C210" t="s">
        <v>31</v>
      </c>
      <c r="D210" s="6">
        <v>43282</v>
      </c>
      <c r="E210">
        <v>427</v>
      </c>
      <c r="F210">
        <v>904</v>
      </c>
      <c r="G210">
        <v>-477</v>
      </c>
      <c r="H210">
        <v>-1.0900000000000001</v>
      </c>
      <c r="J210">
        <v>2021</v>
      </c>
    </row>
    <row r="211" spans="1:10" x14ac:dyDescent="0.35">
      <c r="A211" s="8">
        <v>44256</v>
      </c>
      <c r="B211" t="s">
        <v>32</v>
      </c>
      <c r="C211" t="s">
        <v>31</v>
      </c>
      <c r="D211" s="6">
        <v>42915</v>
      </c>
      <c r="E211">
        <v>416</v>
      </c>
      <c r="F211">
        <v>783</v>
      </c>
      <c r="G211">
        <v>-367</v>
      </c>
      <c r="H211">
        <v>-0.85</v>
      </c>
      <c r="J211">
        <v>2021</v>
      </c>
    </row>
    <row r="212" spans="1:10" x14ac:dyDescent="0.35">
      <c r="A212" s="8">
        <v>44287</v>
      </c>
      <c r="B212" t="s">
        <v>32</v>
      </c>
      <c r="C212" t="s">
        <v>31</v>
      </c>
      <c r="D212" s="6">
        <v>42879</v>
      </c>
      <c r="E212">
        <v>563</v>
      </c>
      <c r="F212">
        <v>599</v>
      </c>
      <c r="G212">
        <v>-36</v>
      </c>
      <c r="H212">
        <v>-0.08</v>
      </c>
      <c r="J212">
        <v>2021</v>
      </c>
    </row>
    <row r="213" spans="1:10" x14ac:dyDescent="0.35">
      <c r="A213" s="8">
        <v>44317</v>
      </c>
      <c r="B213" t="s">
        <v>32</v>
      </c>
      <c r="C213" t="s">
        <v>31</v>
      </c>
      <c r="D213" s="6">
        <v>42888</v>
      </c>
      <c r="E213">
        <v>524</v>
      </c>
      <c r="F213">
        <v>515</v>
      </c>
      <c r="G213">
        <v>9</v>
      </c>
      <c r="H213">
        <v>0.02</v>
      </c>
      <c r="J213">
        <v>2021</v>
      </c>
    </row>
    <row r="214" spans="1:10" x14ac:dyDescent="0.35">
      <c r="A214" s="8">
        <v>44348</v>
      </c>
      <c r="B214" t="s">
        <v>32</v>
      </c>
      <c r="C214" t="s">
        <v>31</v>
      </c>
      <c r="D214" s="6">
        <v>43228</v>
      </c>
      <c r="E214">
        <v>628</v>
      </c>
      <c r="F214">
        <v>288</v>
      </c>
      <c r="G214">
        <v>340</v>
      </c>
      <c r="H214">
        <v>0.79</v>
      </c>
      <c r="J214">
        <v>2021</v>
      </c>
    </row>
    <row r="215" spans="1:10" x14ac:dyDescent="0.35">
      <c r="A215" s="8">
        <v>44378</v>
      </c>
      <c r="B215" t="s">
        <v>32</v>
      </c>
      <c r="C215" t="s">
        <v>31</v>
      </c>
      <c r="D215" s="6">
        <v>43293</v>
      </c>
      <c r="E215">
        <v>611</v>
      </c>
      <c r="F215">
        <v>546</v>
      </c>
      <c r="G215">
        <v>65</v>
      </c>
      <c r="H215">
        <v>0.15</v>
      </c>
      <c r="J215">
        <v>2021</v>
      </c>
    </row>
    <row r="216" spans="1:10" x14ac:dyDescent="0.35">
      <c r="A216" s="8">
        <v>44409</v>
      </c>
      <c r="B216" t="s">
        <v>32</v>
      </c>
      <c r="C216" t="s">
        <v>31</v>
      </c>
      <c r="D216" s="6">
        <v>43572</v>
      </c>
      <c r="E216">
        <v>639</v>
      </c>
      <c r="F216">
        <v>360</v>
      </c>
      <c r="G216">
        <v>279</v>
      </c>
      <c r="H216">
        <v>0.64</v>
      </c>
      <c r="J216">
        <v>2021</v>
      </c>
    </row>
    <row r="217" spans="1:10" x14ac:dyDescent="0.35">
      <c r="A217" s="8">
        <v>44440</v>
      </c>
      <c r="B217" t="s">
        <v>32</v>
      </c>
      <c r="C217" t="s">
        <v>31</v>
      </c>
      <c r="D217" s="6">
        <v>43697</v>
      </c>
      <c r="E217">
        <v>680</v>
      </c>
      <c r="F217">
        <v>555</v>
      </c>
      <c r="G217">
        <v>125</v>
      </c>
      <c r="H217">
        <v>0.28999999999999998</v>
      </c>
      <c r="J217">
        <v>2021</v>
      </c>
    </row>
    <row r="218" spans="1:10" x14ac:dyDescent="0.35">
      <c r="A218" s="8">
        <v>44470</v>
      </c>
      <c r="B218" t="s">
        <v>32</v>
      </c>
      <c r="C218" t="s">
        <v>31</v>
      </c>
      <c r="D218" s="6">
        <v>44085</v>
      </c>
      <c r="E218">
        <v>668</v>
      </c>
      <c r="F218">
        <v>280</v>
      </c>
      <c r="G218">
        <v>388</v>
      </c>
      <c r="H218">
        <v>0.89</v>
      </c>
      <c r="J218">
        <v>2021</v>
      </c>
    </row>
    <row r="219" spans="1:10" x14ac:dyDescent="0.35">
      <c r="A219" s="8">
        <v>44501</v>
      </c>
      <c r="B219" t="s">
        <v>32</v>
      </c>
      <c r="C219" t="s">
        <v>31</v>
      </c>
      <c r="D219" s="6">
        <v>44373</v>
      </c>
      <c r="E219">
        <v>588</v>
      </c>
      <c r="F219">
        <v>300</v>
      </c>
      <c r="G219">
        <v>288</v>
      </c>
      <c r="H219">
        <v>0.65</v>
      </c>
      <c r="J219">
        <v>2021</v>
      </c>
    </row>
    <row r="220" spans="1:10" x14ac:dyDescent="0.35">
      <c r="A220" s="8">
        <v>44531</v>
      </c>
      <c r="B220" t="s">
        <v>32</v>
      </c>
      <c r="C220" t="s">
        <v>31</v>
      </c>
      <c r="D220" s="6">
        <v>44337</v>
      </c>
      <c r="E220">
        <v>463</v>
      </c>
      <c r="F220">
        <v>499</v>
      </c>
      <c r="G220">
        <v>-36</v>
      </c>
      <c r="H220">
        <v>-0.08</v>
      </c>
      <c r="J220">
        <v>2021</v>
      </c>
    </row>
    <row r="221" spans="1:10" x14ac:dyDescent="0.35">
      <c r="A221" s="8">
        <v>44562</v>
      </c>
      <c r="B221" t="s">
        <v>32</v>
      </c>
      <c r="C221" t="s">
        <v>31</v>
      </c>
      <c r="D221" s="6">
        <v>47167</v>
      </c>
      <c r="E221">
        <v>3353</v>
      </c>
      <c r="F221">
        <v>523</v>
      </c>
      <c r="G221">
        <v>2830</v>
      </c>
      <c r="H221">
        <v>6.38</v>
      </c>
      <c r="I221">
        <v>7.79</v>
      </c>
      <c r="J221">
        <v>2022</v>
      </c>
    </row>
    <row r="222" spans="1:10" x14ac:dyDescent="0.35">
      <c r="A222" s="8">
        <v>44593</v>
      </c>
      <c r="B222" t="s">
        <v>32</v>
      </c>
      <c r="C222" t="s">
        <v>31</v>
      </c>
      <c r="D222" s="6">
        <v>46591</v>
      </c>
      <c r="E222">
        <v>451</v>
      </c>
      <c r="F222">
        <v>1027</v>
      </c>
      <c r="G222">
        <v>-576</v>
      </c>
      <c r="H222">
        <v>-1.22</v>
      </c>
      <c r="I222">
        <v>7.65</v>
      </c>
      <c r="J222">
        <v>2022</v>
      </c>
    </row>
    <row r="223" spans="1:10" x14ac:dyDescent="0.35">
      <c r="A223" s="8">
        <v>44621</v>
      </c>
      <c r="B223" t="s">
        <v>32</v>
      </c>
      <c r="C223" t="s">
        <v>31</v>
      </c>
      <c r="D223" s="6">
        <v>46534</v>
      </c>
      <c r="E223">
        <v>470</v>
      </c>
      <c r="F223">
        <v>527</v>
      </c>
      <c r="G223">
        <v>-57</v>
      </c>
      <c r="H223">
        <v>-0.12</v>
      </c>
      <c r="I223">
        <v>8.43</v>
      </c>
      <c r="J223">
        <v>2022</v>
      </c>
    </row>
    <row r="224" spans="1:10" x14ac:dyDescent="0.35">
      <c r="A224" s="8">
        <v>44652</v>
      </c>
      <c r="B224" t="s">
        <v>32</v>
      </c>
      <c r="C224" t="s">
        <v>31</v>
      </c>
      <c r="D224" s="6">
        <v>46601</v>
      </c>
      <c r="E224">
        <v>667</v>
      </c>
      <c r="F224">
        <v>600</v>
      </c>
      <c r="G224">
        <v>67</v>
      </c>
      <c r="H224">
        <v>0.14000000000000001</v>
      </c>
      <c r="I224">
        <v>8.68</v>
      </c>
      <c r="J224">
        <v>2022</v>
      </c>
    </row>
    <row r="225" spans="1:10" x14ac:dyDescent="0.35">
      <c r="A225" s="8">
        <v>44682</v>
      </c>
      <c r="B225" t="s">
        <v>32</v>
      </c>
      <c r="C225" t="s">
        <v>31</v>
      </c>
      <c r="D225" s="6">
        <v>46974</v>
      </c>
      <c r="E225">
        <v>698</v>
      </c>
      <c r="F225">
        <v>346</v>
      </c>
      <c r="G225">
        <v>373</v>
      </c>
      <c r="H225">
        <v>0.8</v>
      </c>
      <c r="I225">
        <v>9.5299999999999994</v>
      </c>
      <c r="J225">
        <v>2022</v>
      </c>
    </row>
    <row r="226" spans="1:10" x14ac:dyDescent="0.35">
      <c r="A226" s="8">
        <v>44713</v>
      </c>
      <c r="B226" t="s">
        <v>32</v>
      </c>
      <c r="C226" t="s">
        <v>31</v>
      </c>
      <c r="D226" s="6">
        <v>47029</v>
      </c>
      <c r="E226">
        <v>539</v>
      </c>
      <c r="F226">
        <v>484</v>
      </c>
      <c r="G226">
        <v>55</v>
      </c>
      <c r="H226">
        <v>0.12</v>
      </c>
      <c r="I226">
        <v>8.7899999999999991</v>
      </c>
      <c r="J226">
        <v>2022</v>
      </c>
    </row>
    <row r="227" spans="1:10" x14ac:dyDescent="0.35">
      <c r="A227" s="8">
        <v>44743</v>
      </c>
      <c r="B227" t="s">
        <v>32</v>
      </c>
      <c r="C227" t="s">
        <v>31</v>
      </c>
      <c r="D227" s="6">
        <v>47185</v>
      </c>
      <c r="E227">
        <v>675</v>
      </c>
      <c r="F227">
        <v>519</v>
      </c>
      <c r="G227">
        <v>156</v>
      </c>
      <c r="H227">
        <v>0.33</v>
      </c>
      <c r="I227">
        <v>8.99</v>
      </c>
      <c r="J227">
        <v>2022</v>
      </c>
    </row>
    <row r="228" spans="1:10" x14ac:dyDescent="0.35">
      <c r="A228" s="8">
        <v>44774</v>
      </c>
      <c r="B228" t="s">
        <v>32</v>
      </c>
      <c r="C228" t="s">
        <v>31</v>
      </c>
      <c r="D228" s="6">
        <v>47560</v>
      </c>
      <c r="E228">
        <v>832</v>
      </c>
      <c r="F228">
        <v>457</v>
      </c>
      <c r="G228">
        <v>375</v>
      </c>
      <c r="H228">
        <v>0.79</v>
      </c>
      <c r="I228">
        <v>9.15</v>
      </c>
      <c r="J228">
        <v>2022</v>
      </c>
    </row>
    <row r="229" spans="1:10" x14ac:dyDescent="0.35">
      <c r="A229" s="8">
        <v>44805</v>
      </c>
      <c r="B229" t="s">
        <v>32</v>
      </c>
      <c r="C229" t="s">
        <v>31</v>
      </c>
      <c r="D229" s="6">
        <v>47793</v>
      </c>
      <c r="E229">
        <v>761</v>
      </c>
      <c r="F229">
        <v>528</v>
      </c>
      <c r="G229">
        <v>233</v>
      </c>
      <c r="H229">
        <v>0.49</v>
      </c>
      <c r="I229">
        <v>9.3699999999999992</v>
      </c>
      <c r="J229">
        <v>2022</v>
      </c>
    </row>
    <row r="230" spans="1:10" x14ac:dyDescent="0.35">
      <c r="A230" s="8">
        <v>44835</v>
      </c>
      <c r="B230" t="s">
        <v>32</v>
      </c>
      <c r="C230" t="s">
        <v>31</v>
      </c>
      <c r="D230" s="6">
        <v>47892</v>
      </c>
      <c r="E230">
        <v>635</v>
      </c>
      <c r="F230">
        <v>554</v>
      </c>
      <c r="G230">
        <v>99</v>
      </c>
      <c r="H230">
        <v>0.21</v>
      </c>
      <c r="I230">
        <v>8.64</v>
      </c>
      <c r="J230">
        <v>2022</v>
      </c>
    </row>
    <row r="231" spans="1:10" x14ac:dyDescent="0.35">
      <c r="A231" s="8">
        <v>44866</v>
      </c>
      <c r="B231" t="s">
        <v>32</v>
      </c>
      <c r="C231" t="s">
        <v>31</v>
      </c>
      <c r="D231" s="6">
        <v>48300</v>
      </c>
      <c r="E231">
        <v>683</v>
      </c>
      <c r="F231">
        <v>275</v>
      </c>
      <c r="G231">
        <v>408</v>
      </c>
      <c r="H231">
        <v>0.85</v>
      </c>
      <c r="I231">
        <v>8.85</v>
      </c>
      <c r="J231">
        <v>2022</v>
      </c>
    </row>
    <row r="232" spans="1:10" x14ac:dyDescent="0.35">
      <c r="A232" s="8">
        <v>44896</v>
      </c>
      <c r="B232" t="s">
        <v>32</v>
      </c>
      <c r="C232" t="s">
        <v>31</v>
      </c>
      <c r="D232" s="6">
        <v>48564</v>
      </c>
      <c r="E232">
        <v>781</v>
      </c>
      <c r="F232">
        <v>517</v>
      </c>
      <c r="G232">
        <v>264</v>
      </c>
      <c r="H232">
        <v>0.55000000000000004</v>
      </c>
      <c r="I232">
        <v>9.5299999999999994</v>
      </c>
      <c r="J232">
        <v>2022</v>
      </c>
    </row>
    <row r="233" spans="1:10" x14ac:dyDescent="0.35">
      <c r="A233" s="8">
        <v>44927</v>
      </c>
      <c r="B233" t="s">
        <v>32</v>
      </c>
      <c r="C233" t="s">
        <v>31</v>
      </c>
      <c r="D233" s="6">
        <v>51648</v>
      </c>
      <c r="E233">
        <v>3689</v>
      </c>
      <c r="F233">
        <v>605</v>
      </c>
      <c r="G233">
        <v>3084</v>
      </c>
      <c r="H233">
        <v>6.35</v>
      </c>
      <c r="I233">
        <v>9.5</v>
      </c>
      <c r="J233">
        <v>2023</v>
      </c>
    </row>
    <row r="234" spans="1:10" x14ac:dyDescent="0.35">
      <c r="A234" s="8">
        <v>44958</v>
      </c>
      <c r="B234" t="s">
        <v>32</v>
      </c>
      <c r="C234" t="s">
        <v>31</v>
      </c>
      <c r="D234" s="6">
        <v>50911</v>
      </c>
      <c r="E234">
        <v>472</v>
      </c>
      <c r="F234">
        <v>1209</v>
      </c>
      <c r="G234">
        <v>-737</v>
      </c>
      <c r="H234">
        <v>-1.43</v>
      </c>
      <c r="I234">
        <v>9.27</v>
      </c>
      <c r="J234">
        <v>2023</v>
      </c>
    </row>
    <row r="235" spans="1:10" x14ac:dyDescent="0.35">
      <c r="A235" s="8">
        <v>44986</v>
      </c>
      <c r="B235" t="s">
        <v>32</v>
      </c>
      <c r="C235" t="s">
        <v>31</v>
      </c>
      <c r="D235" s="6">
        <v>50705</v>
      </c>
      <c r="E235">
        <v>483</v>
      </c>
      <c r="F235">
        <v>689</v>
      </c>
      <c r="G235">
        <v>-206</v>
      </c>
      <c r="H235">
        <v>-0.4</v>
      </c>
      <c r="I235">
        <v>8.9600000000000009</v>
      </c>
      <c r="J235">
        <v>2023</v>
      </c>
    </row>
    <row r="236" spans="1:10" x14ac:dyDescent="0.35">
      <c r="A236" s="8">
        <v>45017</v>
      </c>
      <c r="B236" t="s">
        <v>32</v>
      </c>
      <c r="C236" t="s">
        <v>31</v>
      </c>
      <c r="D236" s="6">
        <v>50895</v>
      </c>
      <c r="E236">
        <v>922</v>
      </c>
      <c r="F236">
        <v>732</v>
      </c>
      <c r="G236">
        <v>190</v>
      </c>
      <c r="H236">
        <v>0.37</v>
      </c>
      <c r="I236">
        <v>9.2100000000000009</v>
      </c>
      <c r="J236">
        <v>2023</v>
      </c>
    </row>
    <row r="237" spans="1:10" x14ac:dyDescent="0.35">
      <c r="A237" s="8">
        <v>45047</v>
      </c>
      <c r="B237" t="s">
        <v>32</v>
      </c>
      <c r="C237" t="s">
        <v>31</v>
      </c>
      <c r="D237" s="6">
        <v>51066</v>
      </c>
      <c r="E237">
        <v>664</v>
      </c>
      <c r="F237">
        <v>499</v>
      </c>
      <c r="G237">
        <v>171</v>
      </c>
      <c r="H237">
        <v>0.34</v>
      </c>
      <c r="I237">
        <v>8.7100000000000009</v>
      </c>
      <c r="J237">
        <v>2023</v>
      </c>
    </row>
    <row r="238" spans="1:10" x14ac:dyDescent="0.35">
      <c r="A238" s="8">
        <v>45078</v>
      </c>
      <c r="B238" t="s">
        <v>32</v>
      </c>
      <c r="C238" t="s">
        <v>31</v>
      </c>
      <c r="D238" s="6">
        <v>51145</v>
      </c>
      <c r="E238">
        <v>624</v>
      </c>
      <c r="F238">
        <v>554</v>
      </c>
      <c r="G238">
        <v>79</v>
      </c>
      <c r="H238">
        <v>0.15</v>
      </c>
      <c r="I238">
        <v>8.75</v>
      </c>
      <c r="J238">
        <v>2023</v>
      </c>
    </row>
    <row r="239" spans="1:10" x14ac:dyDescent="0.35">
      <c r="A239" s="8">
        <v>45108</v>
      </c>
      <c r="B239" t="s">
        <v>32</v>
      </c>
      <c r="C239" t="s">
        <v>31</v>
      </c>
      <c r="D239" s="6">
        <v>51419</v>
      </c>
      <c r="E239">
        <v>644</v>
      </c>
      <c r="F239">
        <v>370</v>
      </c>
      <c r="G239">
        <v>274</v>
      </c>
      <c r="H239">
        <v>0.54</v>
      </c>
      <c r="I239">
        <v>8.9700000000000006</v>
      </c>
      <c r="J239">
        <v>2023</v>
      </c>
    </row>
    <row r="240" spans="1:10" x14ac:dyDescent="0.35">
      <c r="A240" s="8">
        <v>45139</v>
      </c>
      <c r="B240" t="s">
        <v>32</v>
      </c>
      <c r="C240" t="s">
        <v>31</v>
      </c>
      <c r="D240" s="6">
        <v>51567</v>
      </c>
      <c r="E240">
        <v>853</v>
      </c>
      <c r="F240">
        <v>705</v>
      </c>
      <c r="G240">
        <v>148</v>
      </c>
      <c r="H240">
        <v>0.28999999999999998</v>
      </c>
      <c r="I240">
        <v>8.43</v>
      </c>
      <c r="J240">
        <v>2023</v>
      </c>
    </row>
    <row r="241" spans="1:10" x14ac:dyDescent="0.35">
      <c r="A241" s="8">
        <v>45170</v>
      </c>
      <c r="B241" t="s">
        <v>32</v>
      </c>
      <c r="C241" t="s">
        <v>31</v>
      </c>
      <c r="D241" s="6">
        <v>52379</v>
      </c>
      <c r="E241">
        <v>974</v>
      </c>
      <c r="F241">
        <v>299</v>
      </c>
      <c r="G241">
        <v>812</v>
      </c>
      <c r="H241">
        <v>1.57</v>
      </c>
      <c r="I241">
        <v>9.6</v>
      </c>
      <c r="J241">
        <v>2023</v>
      </c>
    </row>
    <row r="242" spans="1:10" x14ac:dyDescent="0.35">
      <c r="A242" s="8">
        <v>45200</v>
      </c>
      <c r="B242" t="s">
        <v>32</v>
      </c>
      <c r="C242" t="s">
        <v>31</v>
      </c>
      <c r="D242" s="6">
        <v>52444</v>
      </c>
      <c r="E242">
        <v>809</v>
      </c>
      <c r="F242">
        <v>744</v>
      </c>
      <c r="G242">
        <v>65</v>
      </c>
      <c r="H242">
        <v>0.12</v>
      </c>
      <c r="I242">
        <v>9.5</v>
      </c>
      <c r="J242">
        <v>2023</v>
      </c>
    </row>
    <row r="243" spans="1:10" x14ac:dyDescent="0.35">
      <c r="A243" s="8">
        <v>45231</v>
      </c>
      <c r="B243" t="s">
        <v>32</v>
      </c>
      <c r="C243" t="s">
        <v>31</v>
      </c>
      <c r="D243" s="6">
        <v>52772</v>
      </c>
      <c r="E243">
        <v>755</v>
      </c>
      <c r="F243">
        <v>427</v>
      </c>
      <c r="G243">
        <v>328</v>
      </c>
      <c r="H243">
        <v>0.63</v>
      </c>
      <c r="I243">
        <v>9.26</v>
      </c>
      <c r="J243">
        <v>2023</v>
      </c>
    </row>
    <row r="244" spans="1:10" x14ac:dyDescent="0.35">
      <c r="A244" s="8">
        <v>45261</v>
      </c>
      <c r="B244" t="s">
        <v>32</v>
      </c>
      <c r="C244" t="s">
        <v>31</v>
      </c>
      <c r="D244" s="6">
        <v>52815</v>
      </c>
      <c r="E244">
        <v>727</v>
      </c>
      <c r="F244">
        <v>684</v>
      </c>
      <c r="G244">
        <v>43</v>
      </c>
      <c r="H244">
        <v>0.08</v>
      </c>
      <c r="I244">
        <v>8.75</v>
      </c>
      <c r="J244">
        <v>2023</v>
      </c>
    </row>
    <row r="245" spans="1:10" x14ac:dyDescent="0.35">
      <c r="A245" s="8">
        <v>45292</v>
      </c>
      <c r="B245" t="s">
        <v>32</v>
      </c>
      <c r="C245" t="s">
        <v>31</v>
      </c>
      <c r="D245" s="6">
        <v>56622</v>
      </c>
      <c r="E245">
        <v>4102</v>
      </c>
      <c r="F245">
        <v>358</v>
      </c>
      <c r="G245">
        <v>3807</v>
      </c>
      <c r="H245">
        <v>7.21</v>
      </c>
      <c r="I245">
        <v>9.6300000000000008</v>
      </c>
      <c r="J245">
        <v>2024</v>
      </c>
    </row>
    <row r="246" spans="1:10" x14ac:dyDescent="0.35">
      <c r="A246" s="8">
        <v>45323</v>
      </c>
      <c r="B246" t="s">
        <v>32</v>
      </c>
      <c r="C246" t="s">
        <v>31</v>
      </c>
      <c r="D246" s="6">
        <v>55825</v>
      </c>
      <c r="E246">
        <v>541</v>
      </c>
      <c r="F246">
        <v>1338</v>
      </c>
      <c r="G246">
        <v>-797</v>
      </c>
      <c r="H246">
        <v>-1.41</v>
      </c>
      <c r="I246">
        <v>9.65</v>
      </c>
      <c r="J246">
        <v>2024</v>
      </c>
    </row>
    <row r="247" spans="1:10" x14ac:dyDescent="0.35">
      <c r="A247" s="8">
        <v>45352</v>
      </c>
      <c r="B247" t="s">
        <v>32</v>
      </c>
      <c r="C247" t="s">
        <v>31</v>
      </c>
      <c r="D247" s="6">
        <v>55255</v>
      </c>
      <c r="E247">
        <v>517</v>
      </c>
      <c r="F247">
        <v>1087</v>
      </c>
      <c r="G247">
        <v>-570</v>
      </c>
      <c r="H247">
        <v>-1.02</v>
      </c>
      <c r="I247">
        <v>8.9700000000000006</v>
      </c>
      <c r="J247">
        <v>2024</v>
      </c>
    </row>
    <row r="248" spans="1:10" x14ac:dyDescent="0.35">
      <c r="A248" s="8">
        <v>45383</v>
      </c>
      <c r="B248" t="s">
        <v>32</v>
      </c>
      <c r="C248" t="s">
        <v>31</v>
      </c>
      <c r="D248" s="6">
        <v>55470</v>
      </c>
      <c r="E248">
        <v>910</v>
      </c>
      <c r="F248">
        <v>695</v>
      </c>
      <c r="G248">
        <v>215</v>
      </c>
      <c r="H248">
        <v>0.39</v>
      </c>
      <c r="I248">
        <v>8.99</v>
      </c>
      <c r="J248">
        <v>2024</v>
      </c>
    </row>
    <row r="249" spans="1:10" x14ac:dyDescent="0.35">
      <c r="A249" s="8">
        <v>45413</v>
      </c>
      <c r="B249" t="s">
        <v>32</v>
      </c>
      <c r="C249" t="s">
        <v>31</v>
      </c>
      <c r="D249" s="6">
        <v>55725</v>
      </c>
      <c r="E249">
        <v>838</v>
      </c>
      <c r="F249">
        <v>583</v>
      </c>
      <c r="G249">
        <v>255</v>
      </c>
      <c r="H249">
        <v>0.46</v>
      </c>
      <c r="I249">
        <v>9.1199999999999992</v>
      </c>
      <c r="J249">
        <v>2024</v>
      </c>
    </row>
    <row r="250" spans="1:10" x14ac:dyDescent="0.35">
      <c r="A250" s="8">
        <v>45444</v>
      </c>
      <c r="B250" t="s">
        <v>32</v>
      </c>
      <c r="C250" t="s">
        <v>31</v>
      </c>
      <c r="D250" s="6">
        <v>56242</v>
      </c>
      <c r="E250">
        <v>879</v>
      </c>
      <c r="F250">
        <v>414</v>
      </c>
      <c r="G250">
        <v>517</v>
      </c>
      <c r="H250">
        <v>0.93</v>
      </c>
      <c r="I250">
        <v>9.9700000000000006</v>
      </c>
      <c r="J250">
        <v>2024</v>
      </c>
    </row>
    <row r="251" spans="1:10" x14ac:dyDescent="0.35">
      <c r="A251" s="8">
        <v>45474</v>
      </c>
      <c r="B251" t="s">
        <v>32</v>
      </c>
      <c r="C251" t="s">
        <v>31</v>
      </c>
      <c r="D251" s="6">
        <v>56154</v>
      </c>
      <c r="E251">
        <v>582</v>
      </c>
      <c r="F251">
        <v>670</v>
      </c>
      <c r="G251">
        <v>-88</v>
      </c>
      <c r="H251">
        <v>-0.16</v>
      </c>
      <c r="I251">
        <v>9.2100000000000009</v>
      </c>
      <c r="J251">
        <v>2024</v>
      </c>
    </row>
    <row r="252" spans="1:10" x14ac:dyDescent="0.35">
      <c r="A252" s="8">
        <v>45505</v>
      </c>
      <c r="B252" t="s">
        <v>32</v>
      </c>
      <c r="C252" t="s">
        <v>31</v>
      </c>
      <c r="D252" s="6">
        <v>56610</v>
      </c>
      <c r="E252">
        <v>1002</v>
      </c>
      <c r="F252">
        <v>546</v>
      </c>
      <c r="G252">
        <v>456</v>
      </c>
      <c r="H252">
        <v>0.81</v>
      </c>
      <c r="I252">
        <v>9.7799999999999994</v>
      </c>
      <c r="J252">
        <v>2024</v>
      </c>
    </row>
    <row r="253" spans="1:10" x14ac:dyDescent="0.35">
      <c r="A253" s="8">
        <v>45536</v>
      </c>
      <c r="B253" t="s">
        <v>32</v>
      </c>
      <c r="C253" t="s">
        <v>31</v>
      </c>
      <c r="D253" s="6">
        <v>56953</v>
      </c>
      <c r="E253">
        <v>791</v>
      </c>
      <c r="F253">
        <v>448</v>
      </c>
      <c r="G253">
        <v>343</v>
      </c>
      <c r="H253">
        <v>0.61</v>
      </c>
      <c r="I253">
        <v>8.73</v>
      </c>
      <c r="J253">
        <v>2024</v>
      </c>
    </row>
    <row r="254" spans="1:10" x14ac:dyDescent="0.35">
      <c r="A254" s="8">
        <v>45566</v>
      </c>
      <c r="B254" t="s">
        <v>32</v>
      </c>
      <c r="C254" t="s">
        <v>31</v>
      </c>
      <c r="D254" s="6">
        <v>57212</v>
      </c>
      <c r="E254">
        <v>799</v>
      </c>
      <c r="F254">
        <v>540</v>
      </c>
      <c r="G254">
        <v>259</v>
      </c>
      <c r="H254">
        <v>0.45</v>
      </c>
      <c r="I254">
        <v>9.09</v>
      </c>
      <c r="J254">
        <v>2024</v>
      </c>
    </row>
    <row r="255" spans="1:10" x14ac:dyDescent="0.35">
      <c r="A255" s="8">
        <v>45597</v>
      </c>
      <c r="B255" t="s">
        <v>32</v>
      </c>
      <c r="C255" t="s">
        <v>31</v>
      </c>
      <c r="D255" s="6">
        <v>57266</v>
      </c>
      <c r="E255">
        <v>860</v>
      </c>
      <c r="F255">
        <v>806</v>
      </c>
      <c r="G255">
        <v>54</v>
      </c>
      <c r="H255">
        <v>0.09</v>
      </c>
      <c r="I255">
        <v>8.52</v>
      </c>
      <c r="J255">
        <v>2024</v>
      </c>
    </row>
    <row r="256" spans="1:10" x14ac:dyDescent="0.35">
      <c r="A256" s="8">
        <v>45627</v>
      </c>
      <c r="B256" t="s">
        <v>32</v>
      </c>
      <c r="C256" t="s">
        <v>31</v>
      </c>
      <c r="D256" s="6">
        <v>57489</v>
      </c>
      <c r="E256">
        <v>719</v>
      </c>
      <c r="F256">
        <v>521</v>
      </c>
      <c r="G256">
        <v>223</v>
      </c>
      <c r="H256">
        <v>0.39</v>
      </c>
      <c r="I256">
        <v>8.85</v>
      </c>
      <c r="J256">
        <v>2024</v>
      </c>
    </row>
    <row r="257" spans="1:10" x14ac:dyDescent="0.35">
      <c r="A257" s="8">
        <v>45658</v>
      </c>
      <c r="B257" t="s">
        <v>32</v>
      </c>
      <c r="C257" t="s">
        <v>31</v>
      </c>
      <c r="D257" s="6">
        <v>61578</v>
      </c>
      <c r="E257">
        <v>4285</v>
      </c>
      <c r="F257">
        <v>219</v>
      </c>
      <c r="G257">
        <v>4089</v>
      </c>
      <c r="H257">
        <v>7.11</v>
      </c>
      <c r="I257">
        <v>8.75</v>
      </c>
      <c r="J257">
        <v>2025</v>
      </c>
    </row>
    <row r="258" spans="1:10" x14ac:dyDescent="0.35">
      <c r="A258" s="8">
        <v>45689</v>
      </c>
      <c r="B258" t="s">
        <v>32</v>
      </c>
      <c r="C258" t="s">
        <v>31</v>
      </c>
      <c r="D258" s="6">
        <v>60648</v>
      </c>
      <c r="E258">
        <v>617</v>
      </c>
      <c r="F258">
        <v>1547</v>
      </c>
      <c r="G258">
        <v>-930</v>
      </c>
      <c r="H258">
        <v>-1.51</v>
      </c>
      <c r="I258">
        <v>8.64</v>
      </c>
      <c r="J258">
        <v>2025</v>
      </c>
    </row>
    <row r="259" spans="1:10" x14ac:dyDescent="0.35">
      <c r="A259" s="8">
        <v>45717</v>
      </c>
      <c r="B259" t="s">
        <v>32</v>
      </c>
      <c r="C259" t="s">
        <v>31</v>
      </c>
      <c r="D259" s="6">
        <v>60085</v>
      </c>
      <c r="E259">
        <v>604</v>
      </c>
      <c r="F259">
        <v>1167</v>
      </c>
      <c r="G259">
        <v>-563</v>
      </c>
      <c r="H259">
        <v>-0.93</v>
      </c>
      <c r="I259">
        <v>8.74</v>
      </c>
      <c r="J259">
        <v>2025</v>
      </c>
    </row>
    <row r="260" spans="1:10" x14ac:dyDescent="0.35">
      <c r="A260" s="8">
        <v>45748</v>
      </c>
      <c r="B260" t="s">
        <v>32</v>
      </c>
      <c r="C260" t="s">
        <v>31</v>
      </c>
      <c r="D260" s="6">
        <v>60444</v>
      </c>
      <c r="E260">
        <v>895</v>
      </c>
      <c r="F260">
        <v>536</v>
      </c>
      <c r="G260">
        <v>359</v>
      </c>
      <c r="H260">
        <v>0.6</v>
      </c>
      <c r="I260">
        <v>8.9700000000000006</v>
      </c>
      <c r="J260">
        <v>2025</v>
      </c>
    </row>
    <row r="261" spans="1:10" x14ac:dyDescent="0.35">
      <c r="A261" s="8">
        <v>45778</v>
      </c>
      <c r="B261" t="s">
        <v>32</v>
      </c>
      <c r="C261" t="s">
        <v>31</v>
      </c>
      <c r="D261" s="6">
        <v>60441</v>
      </c>
      <c r="E261">
        <v>734</v>
      </c>
      <c r="F261">
        <v>737</v>
      </c>
      <c r="G261">
        <v>-3</v>
      </c>
      <c r="H261">
        <v>0</v>
      </c>
      <c r="I261">
        <v>8.4600000000000009</v>
      </c>
      <c r="J261">
        <v>2025</v>
      </c>
    </row>
    <row r="262" spans="1:10" x14ac:dyDescent="0.35">
      <c r="A262" s="8">
        <v>45809</v>
      </c>
      <c r="B262" t="s">
        <v>32</v>
      </c>
      <c r="C262" t="s">
        <v>31</v>
      </c>
      <c r="D262" s="6">
        <v>61083</v>
      </c>
      <c r="E262">
        <v>1117</v>
      </c>
      <c r="F262">
        <v>489</v>
      </c>
      <c r="G262">
        <v>642</v>
      </c>
      <c r="H262">
        <v>1.06</v>
      </c>
      <c r="I262">
        <v>8.61</v>
      </c>
      <c r="J262">
        <v>2025</v>
      </c>
    </row>
    <row r="263" spans="1:10" x14ac:dyDescent="0.35">
      <c r="A263" s="8">
        <v>45839</v>
      </c>
      <c r="B263" t="s">
        <v>32</v>
      </c>
      <c r="C263" t="s">
        <v>31</v>
      </c>
      <c r="D263" s="6">
        <v>61135</v>
      </c>
      <c r="E263">
        <v>710</v>
      </c>
      <c r="F263">
        <v>661</v>
      </c>
      <c r="G263">
        <v>52</v>
      </c>
      <c r="H263">
        <v>0.09</v>
      </c>
      <c r="I263">
        <v>8.8699999999999992</v>
      </c>
      <c r="J263">
        <v>2025</v>
      </c>
    </row>
    <row r="264" spans="1:10" x14ac:dyDescent="0.35">
      <c r="A264" s="8">
        <v>45870</v>
      </c>
      <c r="B264" t="s">
        <v>32</v>
      </c>
      <c r="C264" t="s">
        <v>31</v>
      </c>
      <c r="D264" s="6">
        <v>61240</v>
      </c>
      <c r="E264">
        <v>761</v>
      </c>
      <c r="F264">
        <v>682</v>
      </c>
      <c r="G264">
        <v>105</v>
      </c>
      <c r="H264">
        <v>0.17</v>
      </c>
      <c r="I264">
        <v>8.18</v>
      </c>
      <c r="J264">
        <v>2025</v>
      </c>
    </row>
    <row r="265" spans="1:10" x14ac:dyDescent="0.35">
      <c r="A265" s="8">
        <v>45901</v>
      </c>
      <c r="B265" t="s">
        <v>32</v>
      </c>
      <c r="C265" t="s">
        <v>31</v>
      </c>
      <c r="D265" s="6">
        <v>61419</v>
      </c>
      <c r="E265">
        <v>894</v>
      </c>
      <c r="F265">
        <v>715</v>
      </c>
      <c r="G265">
        <v>179</v>
      </c>
      <c r="H265">
        <v>0.28999999999999998</v>
      </c>
      <c r="I265">
        <v>7.84</v>
      </c>
      <c r="J265">
        <v>2025</v>
      </c>
    </row>
    <row r="266" spans="1:10" x14ac:dyDescent="0.35">
      <c r="A266" s="8">
        <v>45931</v>
      </c>
      <c r="B266" t="s">
        <v>32</v>
      </c>
      <c r="C266" t="s">
        <v>31</v>
      </c>
      <c r="D266" s="6">
        <v>61816</v>
      </c>
      <c r="E266">
        <v>933</v>
      </c>
      <c r="F266">
        <v>536</v>
      </c>
      <c r="G266">
        <v>397</v>
      </c>
      <c r="H266">
        <v>0.65</v>
      </c>
      <c r="I266">
        <v>8.0500000000000007</v>
      </c>
      <c r="J266">
        <v>2025</v>
      </c>
    </row>
    <row r="267" spans="1:10" x14ac:dyDescent="0.35">
      <c r="A267" s="8">
        <v>45962</v>
      </c>
      <c r="B267" t="s">
        <v>32</v>
      </c>
      <c r="C267" t="s">
        <v>31</v>
      </c>
      <c r="D267" s="6">
        <v>62195</v>
      </c>
      <c r="E267">
        <v>1121</v>
      </c>
      <c r="F267">
        <v>742</v>
      </c>
      <c r="G267">
        <v>379</v>
      </c>
      <c r="H267">
        <v>0.61</v>
      </c>
      <c r="I267">
        <v>8.61</v>
      </c>
      <c r="J267">
        <v>2025</v>
      </c>
    </row>
    <row r="268" spans="1:10" x14ac:dyDescent="0.35">
      <c r="A268" s="8">
        <v>45992</v>
      </c>
      <c r="B268" t="s">
        <v>32</v>
      </c>
      <c r="C268" t="s">
        <v>31</v>
      </c>
      <c r="D268" s="6">
        <v>62730</v>
      </c>
      <c r="E268">
        <v>641</v>
      </c>
      <c r="F268">
        <v>316</v>
      </c>
      <c r="G268">
        <v>535</v>
      </c>
      <c r="H268">
        <v>0.86</v>
      </c>
      <c r="I268">
        <v>9.1199999999999992</v>
      </c>
      <c r="J268">
        <v>2025</v>
      </c>
    </row>
    <row r="269" spans="1:10" x14ac:dyDescent="0.35">
      <c r="A269" s="8">
        <v>46023</v>
      </c>
      <c r="B269" t="s">
        <v>32</v>
      </c>
      <c r="C269" t="s">
        <v>31</v>
      </c>
      <c r="D269" s="6">
        <v>67515</v>
      </c>
      <c r="E269">
        <v>5992</v>
      </c>
      <c r="F269">
        <v>1208</v>
      </c>
      <c r="G269">
        <v>4785</v>
      </c>
      <c r="H269">
        <v>7.63</v>
      </c>
      <c r="I269">
        <v>9.64</v>
      </c>
      <c r="J269">
        <v>2026</v>
      </c>
    </row>
    <row r="270" spans="1:10" x14ac:dyDescent="0.35">
      <c r="A270" s="8">
        <v>46054</v>
      </c>
      <c r="B270" t="s">
        <v>32</v>
      </c>
      <c r="C270" t="s">
        <v>31</v>
      </c>
      <c r="D270" s="6">
        <v>67011</v>
      </c>
      <c r="E270">
        <v>693</v>
      </c>
      <c r="F270">
        <v>1197</v>
      </c>
      <c r="G270">
        <v>-504</v>
      </c>
      <c r="H270">
        <v>-0.75</v>
      </c>
      <c r="I270">
        <v>10.49</v>
      </c>
      <c r="J270">
        <v>2026</v>
      </c>
    </row>
    <row r="271" spans="1:10" x14ac:dyDescent="0.35">
      <c r="A271" s="8">
        <v>46082</v>
      </c>
      <c r="B271" t="s">
        <v>32</v>
      </c>
      <c r="C271" t="s">
        <v>31</v>
      </c>
      <c r="D271" s="6">
        <v>66499</v>
      </c>
      <c r="E271">
        <v>658</v>
      </c>
      <c r="F271">
        <v>1170</v>
      </c>
      <c r="G271">
        <v>-512</v>
      </c>
      <c r="H271">
        <v>-0.76</v>
      </c>
      <c r="I271">
        <v>10.67</v>
      </c>
      <c r="J271">
        <v>2026</v>
      </c>
    </row>
    <row r="272" spans="1:10" x14ac:dyDescent="0.35">
      <c r="A272" s="8">
        <v>46113</v>
      </c>
      <c r="B272" t="s">
        <v>32</v>
      </c>
      <c r="C272" t="s">
        <v>31</v>
      </c>
      <c r="D272" s="6">
        <v>66510</v>
      </c>
      <c r="E272">
        <v>1004</v>
      </c>
      <c r="F272">
        <v>993</v>
      </c>
      <c r="G272">
        <v>11</v>
      </c>
      <c r="H272">
        <v>0.02</v>
      </c>
      <c r="I272">
        <v>10.039999999999999</v>
      </c>
      <c r="J272">
        <v>2026</v>
      </c>
    </row>
    <row r="273" spans="1:10" x14ac:dyDescent="0.35">
      <c r="A273" s="8">
        <v>46143</v>
      </c>
      <c r="B273" t="s">
        <v>32</v>
      </c>
      <c r="C273" t="s">
        <v>31</v>
      </c>
      <c r="D273" s="6">
        <v>67069</v>
      </c>
      <c r="E273">
        <v>985</v>
      </c>
      <c r="F273">
        <v>426</v>
      </c>
      <c r="G273">
        <v>559</v>
      </c>
      <c r="H273">
        <v>0.84</v>
      </c>
      <c r="I273">
        <v>10.97</v>
      </c>
      <c r="J273">
        <v>2026</v>
      </c>
    </row>
    <row r="274" spans="1:10" x14ac:dyDescent="0.35">
      <c r="A274" s="8">
        <v>46174</v>
      </c>
      <c r="B274" t="s">
        <v>32</v>
      </c>
      <c r="C274" t="s">
        <v>31</v>
      </c>
      <c r="D274" s="6">
        <v>67476</v>
      </c>
      <c r="E274">
        <v>1326</v>
      </c>
      <c r="F274">
        <v>983</v>
      </c>
      <c r="G274">
        <v>407</v>
      </c>
      <c r="H274">
        <v>0.61</v>
      </c>
      <c r="I274">
        <v>10.47</v>
      </c>
      <c r="J274">
        <v>2026</v>
      </c>
    </row>
    <row r="275" spans="1:10" x14ac:dyDescent="0.35">
      <c r="A275" s="8">
        <v>46204</v>
      </c>
      <c r="B275" t="s">
        <v>32</v>
      </c>
      <c r="C275" t="s">
        <v>31</v>
      </c>
      <c r="D275" s="6">
        <v>68204</v>
      </c>
      <c r="E275">
        <v>1438</v>
      </c>
      <c r="F275">
        <v>732</v>
      </c>
      <c r="G275">
        <v>728</v>
      </c>
      <c r="H275">
        <v>1.08</v>
      </c>
      <c r="I275">
        <v>11.56</v>
      </c>
      <c r="J275">
        <v>2026</v>
      </c>
    </row>
    <row r="276" spans="1:10" x14ac:dyDescent="0.35">
      <c r="A276" s="8">
        <v>46235</v>
      </c>
      <c r="B276" t="s">
        <v>32</v>
      </c>
      <c r="C276" t="s">
        <v>31</v>
      </c>
      <c r="D276" s="6">
        <v>68761</v>
      </c>
      <c r="E276">
        <v>1089</v>
      </c>
      <c r="F276">
        <v>590</v>
      </c>
      <c r="G276">
        <v>557</v>
      </c>
      <c r="H276">
        <v>0.82</v>
      </c>
      <c r="I276">
        <v>12.28</v>
      </c>
      <c r="J276">
        <v>2026</v>
      </c>
    </row>
    <row r="277" spans="1:10" x14ac:dyDescent="0.35">
      <c r="A277" s="8">
        <v>46266</v>
      </c>
      <c r="B277" t="s">
        <v>32</v>
      </c>
      <c r="C277" t="s">
        <v>31</v>
      </c>
      <c r="D277" s="6">
        <v>69091</v>
      </c>
      <c r="E277">
        <v>1165</v>
      </c>
      <c r="F277">
        <v>835</v>
      </c>
      <c r="G277">
        <v>330</v>
      </c>
      <c r="H277">
        <v>0.48</v>
      </c>
      <c r="I277">
        <v>12.49</v>
      </c>
      <c r="J277">
        <v>2026</v>
      </c>
    </row>
    <row r="278" spans="1:10" x14ac:dyDescent="0.35">
      <c r="A278" s="8">
        <v>44197</v>
      </c>
      <c r="B278" t="s">
        <v>33</v>
      </c>
      <c r="C278" t="s">
        <v>34</v>
      </c>
      <c r="D278" s="6">
        <v>29005</v>
      </c>
      <c r="E278">
        <v>1193</v>
      </c>
      <c r="F278">
        <v>0</v>
      </c>
      <c r="J278">
        <v>2021</v>
      </c>
    </row>
    <row r="279" spans="1:10" x14ac:dyDescent="0.35">
      <c r="A279" s="8">
        <v>44228</v>
      </c>
      <c r="B279" t="s">
        <v>33</v>
      </c>
      <c r="C279" t="s">
        <v>34</v>
      </c>
      <c r="D279" s="6">
        <v>28667</v>
      </c>
      <c r="E279">
        <v>272</v>
      </c>
      <c r="F279">
        <v>610</v>
      </c>
      <c r="G279">
        <v>-338</v>
      </c>
      <c r="H279">
        <v>-1.17</v>
      </c>
      <c r="J279">
        <v>2021</v>
      </c>
    </row>
    <row r="280" spans="1:10" x14ac:dyDescent="0.35">
      <c r="A280" s="8">
        <v>44256</v>
      </c>
      <c r="B280" t="s">
        <v>33</v>
      </c>
      <c r="C280" t="s">
        <v>34</v>
      </c>
      <c r="D280" s="6">
        <v>28465</v>
      </c>
      <c r="E280">
        <v>290</v>
      </c>
      <c r="F280">
        <v>492</v>
      </c>
      <c r="G280">
        <v>-202</v>
      </c>
      <c r="H280">
        <v>-0.7</v>
      </c>
      <c r="J280">
        <v>2021</v>
      </c>
    </row>
    <row r="281" spans="1:10" x14ac:dyDescent="0.35">
      <c r="A281" s="8">
        <v>44287</v>
      </c>
      <c r="B281" t="s">
        <v>33</v>
      </c>
      <c r="C281" t="s">
        <v>34</v>
      </c>
      <c r="D281" s="6">
        <v>28252</v>
      </c>
      <c r="E281">
        <v>273</v>
      </c>
      <c r="F281">
        <v>486</v>
      </c>
      <c r="G281">
        <v>-213</v>
      </c>
      <c r="H281">
        <v>-0.75</v>
      </c>
      <c r="J281">
        <v>2021</v>
      </c>
    </row>
    <row r="282" spans="1:10" x14ac:dyDescent="0.35">
      <c r="A282" s="8">
        <v>44317</v>
      </c>
      <c r="B282" t="s">
        <v>33</v>
      </c>
      <c r="C282" t="s">
        <v>34</v>
      </c>
      <c r="D282" s="6">
        <v>28190</v>
      </c>
      <c r="E282">
        <v>284</v>
      </c>
      <c r="F282">
        <v>346</v>
      </c>
      <c r="G282">
        <v>-62</v>
      </c>
      <c r="H282">
        <v>-0.22</v>
      </c>
      <c r="J282">
        <v>2021</v>
      </c>
    </row>
    <row r="283" spans="1:10" x14ac:dyDescent="0.35">
      <c r="A283" s="8">
        <v>44348</v>
      </c>
      <c r="B283" t="s">
        <v>33</v>
      </c>
      <c r="C283" t="s">
        <v>34</v>
      </c>
      <c r="D283" s="6">
        <v>28248</v>
      </c>
      <c r="E283">
        <v>328</v>
      </c>
      <c r="F283">
        <v>273</v>
      </c>
      <c r="G283">
        <v>58</v>
      </c>
      <c r="H283">
        <v>0.21</v>
      </c>
      <c r="J283">
        <v>2021</v>
      </c>
    </row>
    <row r="284" spans="1:10" x14ac:dyDescent="0.35">
      <c r="A284" s="8">
        <v>44378</v>
      </c>
      <c r="B284" t="s">
        <v>33</v>
      </c>
      <c r="C284" t="s">
        <v>34</v>
      </c>
      <c r="D284" s="6">
        <v>28185</v>
      </c>
      <c r="E284">
        <v>263</v>
      </c>
      <c r="F284">
        <v>326</v>
      </c>
      <c r="G284">
        <v>-63</v>
      </c>
      <c r="H284">
        <v>-0.22</v>
      </c>
      <c r="J284">
        <v>2021</v>
      </c>
    </row>
    <row r="285" spans="1:10" x14ac:dyDescent="0.35">
      <c r="A285" s="8">
        <v>44409</v>
      </c>
      <c r="B285" t="s">
        <v>33</v>
      </c>
      <c r="C285" t="s">
        <v>34</v>
      </c>
      <c r="D285" s="6">
        <v>28113</v>
      </c>
      <c r="E285">
        <v>285</v>
      </c>
      <c r="F285">
        <v>357</v>
      </c>
      <c r="G285">
        <v>-72</v>
      </c>
      <c r="H285">
        <v>-0.26</v>
      </c>
      <c r="J285">
        <v>2021</v>
      </c>
    </row>
    <row r="286" spans="1:10" x14ac:dyDescent="0.35">
      <c r="A286" s="8">
        <v>44440</v>
      </c>
      <c r="B286" t="s">
        <v>33</v>
      </c>
      <c r="C286" t="s">
        <v>34</v>
      </c>
      <c r="D286" s="6">
        <v>28097</v>
      </c>
      <c r="E286">
        <v>299</v>
      </c>
      <c r="F286">
        <v>315</v>
      </c>
      <c r="G286">
        <v>-16</v>
      </c>
      <c r="H286">
        <v>-0.06</v>
      </c>
      <c r="J286">
        <v>2021</v>
      </c>
    </row>
    <row r="287" spans="1:10" x14ac:dyDescent="0.35">
      <c r="A287" s="8">
        <v>44470</v>
      </c>
      <c r="B287" t="s">
        <v>33</v>
      </c>
      <c r="C287" t="s">
        <v>34</v>
      </c>
      <c r="D287" s="6">
        <v>28001</v>
      </c>
      <c r="E287">
        <v>266</v>
      </c>
      <c r="F287">
        <v>362</v>
      </c>
      <c r="G287">
        <v>-96</v>
      </c>
      <c r="H287">
        <v>-0.34</v>
      </c>
      <c r="J287">
        <v>2021</v>
      </c>
    </row>
    <row r="288" spans="1:10" x14ac:dyDescent="0.35">
      <c r="A288" s="8">
        <v>44501</v>
      </c>
      <c r="B288" t="s">
        <v>33</v>
      </c>
      <c r="C288" t="s">
        <v>34</v>
      </c>
      <c r="D288" s="6">
        <v>27967</v>
      </c>
      <c r="E288">
        <v>305</v>
      </c>
      <c r="F288">
        <v>339</v>
      </c>
      <c r="G288">
        <v>-34</v>
      </c>
      <c r="H288">
        <v>-0.12</v>
      </c>
      <c r="J288">
        <v>2021</v>
      </c>
    </row>
    <row r="289" spans="1:10" x14ac:dyDescent="0.35">
      <c r="A289" s="8">
        <v>44531</v>
      </c>
      <c r="B289" t="s">
        <v>33</v>
      </c>
      <c r="C289" t="s">
        <v>34</v>
      </c>
      <c r="D289" s="6">
        <v>28023</v>
      </c>
      <c r="E289">
        <v>264</v>
      </c>
      <c r="F289">
        <v>208</v>
      </c>
      <c r="G289">
        <v>56</v>
      </c>
      <c r="H289">
        <v>0.2</v>
      </c>
      <c r="J289">
        <v>2021</v>
      </c>
    </row>
    <row r="290" spans="1:10" x14ac:dyDescent="0.35">
      <c r="A290" s="8">
        <v>44562</v>
      </c>
      <c r="B290" t="s">
        <v>33</v>
      </c>
      <c r="C290" t="s">
        <v>34</v>
      </c>
      <c r="D290" s="6">
        <v>28860</v>
      </c>
      <c r="E290">
        <v>1104</v>
      </c>
      <c r="F290">
        <v>267</v>
      </c>
      <c r="G290">
        <v>837</v>
      </c>
      <c r="H290">
        <v>2.99</v>
      </c>
      <c r="I290">
        <v>-0.5</v>
      </c>
      <c r="J290">
        <v>2022</v>
      </c>
    </row>
    <row r="291" spans="1:10" x14ac:dyDescent="0.35">
      <c r="A291" s="8">
        <v>44593</v>
      </c>
      <c r="B291" t="s">
        <v>33</v>
      </c>
      <c r="C291" t="s">
        <v>34</v>
      </c>
      <c r="D291" s="6">
        <v>28587</v>
      </c>
      <c r="E291">
        <v>297</v>
      </c>
      <c r="F291">
        <v>570</v>
      </c>
      <c r="G291">
        <v>-273</v>
      </c>
      <c r="H291">
        <v>-0.95</v>
      </c>
      <c r="I291">
        <v>-0.28000000000000003</v>
      </c>
      <c r="J291">
        <v>2022</v>
      </c>
    </row>
    <row r="292" spans="1:10" x14ac:dyDescent="0.35">
      <c r="A292" s="8">
        <v>44621</v>
      </c>
      <c r="B292" t="s">
        <v>33</v>
      </c>
      <c r="C292" t="s">
        <v>34</v>
      </c>
      <c r="D292" s="6">
        <v>28269</v>
      </c>
      <c r="E292">
        <v>283</v>
      </c>
      <c r="F292">
        <v>601</v>
      </c>
      <c r="G292">
        <v>-318</v>
      </c>
      <c r="H292">
        <v>-1.1100000000000001</v>
      </c>
      <c r="I292">
        <v>-0.69</v>
      </c>
      <c r="J292">
        <v>2022</v>
      </c>
    </row>
    <row r="293" spans="1:10" x14ac:dyDescent="0.35">
      <c r="A293" s="8">
        <v>44652</v>
      </c>
      <c r="B293" t="s">
        <v>33</v>
      </c>
      <c r="C293" t="s">
        <v>34</v>
      </c>
      <c r="D293" s="6">
        <v>28114</v>
      </c>
      <c r="E293">
        <v>259</v>
      </c>
      <c r="F293">
        <v>414</v>
      </c>
      <c r="G293">
        <v>-155</v>
      </c>
      <c r="H293">
        <v>-0.55000000000000004</v>
      </c>
      <c r="I293">
        <v>-0.49</v>
      </c>
      <c r="J293">
        <v>2022</v>
      </c>
    </row>
    <row r="294" spans="1:10" x14ac:dyDescent="0.35">
      <c r="A294" s="8">
        <v>44682</v>
      </c>
      <c r="B294" t="s">
        <v>33</v>
      </c>
      <c r="C294" t="s">
        <v>34</v>
      </c>
      <c r="D294" s="6">
        <v>28113</v>
      </c>
      <c r="E294">
        <v>288</v>
      </c>
      <c r="F294">
        <v>289</v>
      </c>
      <c r="G294">
        <v>-1</v>
      </c>
      <c r="H294">
        <v>0</v>
      </c>
      <c r="I294">
        <v>-0.27</v>
      </c>
      <c r="J294">
        <v>2022</v>
      </c>
    </row>
    <row r="295" spans="1:10" x14ac:dyDescent="0.35">
      <c r="A295" s="8">
        <v>44713</v>
      </c>
      <c r="B295" t="s">
        <v>33</v>
      </c>
      <c r="C295" t="s">
        <v>34</v>
      </c>
      <c r="D295" s="6">
        <v>28114</v>
      </c>
      <c r="E295">
        <v>271</v>
      </c>
      <c r="F295">
        <v>270</v>
      </c>
      <c r="G295">
        <v>1</v>
      </c>
      <c r="H295">
        <v>0</v>
      </c>
      <c r="I295">
        <v>-0.47</v>
      </c>
      <c r="J295">
        <v>2022</v>
      </c>
    </row>
    <row r="296" spans="1:10" x14ac:dyDescent="0.35">
      <c r="A296" s="8">
        <v>44743</v>
      </c>
      <c r="B296" t="s">
        <v>33</v>
      </c>
      <c r="C296" t="s">
        <v>34</v>
      </c>
      <c r="D296" s="6">
        <v>28040</v>
      </c>
      <c r="E296">
        <v>289</v>
      </c>
      <c r="F296">
        <v>363</v>
      </c>
      <c r="G296">
        <v>-74</v>
      </c>
      <c r="H296">
        <v>-0.26</v>
      </c>
      <c r="I296">
        <v>-0.51</v>
      </c>
      <c r="J296">
        <v>2022</v>
      </c>
    </row>
    <row r="297" spans="1:10" x14ac:dyDescent="0.35">
      <c r="A297" s="8">
        <v>44774</v>
      </c>
      <c r="B297" t="s">
        <v>33</v>
      </c>
      <c r="C297" t="s">
        <v>34</v>
      </c>
      <c r="D297" s="6">
        <v>28142</v>
      </c>
      <c r="E297">
        <v>264</v>
      </c>
      <c r="F297">
        <v>162</v>
      </c>
      <c r="G297">
        <v>102</v>
      </c>
      <c r="H297">
        <v>0.36</v>
      </c>
      <c r="I297">
        <v>0.1</v>
      </c>
      <c r="J297">
        <v>2022</v>
      </c>
    </row>
    <row r="298" spans="1:10" x14ac:dyDescent="0.35">
      <c r="A298" s="8">
        <v>44805</v>
      </c>
      <c r="B298" t="s">
        <v>33</v>
      </c>
      <c r="C298" t="s">
        <v>34</v>
      </c>
      <c r="D298" s="6">
        <v>28093</v>
      </c>
      <c r="E298">
        <v>260</v>
      </c>
      <c r="F298">
        <v>309</v>
      </c>
      <c r="G298">
        <v>-49</v>
      </c>
      <c r="H298">
        <v>-0.17</v>
      </c>
      <c r="I298">
        <v>-0.01</v>
      </c>
      <c r="J298">
        <v>2022</v>
      </c>
    </row>
    <row r="299" spans="1:10" x14ac:dyDescent="0.35">
      <c r="A299" s="8">
        <v>44835</v>
      </c>
      <c r="B299" t="s">
        <v>33</v>
      </c>
      <c r="C299" t="s">
        <v>34</v>
      </c>
      <c r="D299" s="6">
        <v>28067</v>
      </c>
      <c r="E299">
        <v>321</v>
      </c>
      <c r="F299">
        <v>347</v>
      </c>
      <c r="G299">
        <v>-26</v>
      </c>
      <c r="H299">
        <v>-0.09</v>
      </c>
      <c r="I299">
        <v>0.24</v>
      </c>
      <c r="J299">
        <v>2022</v>
      </c>
    </row>
    <row r="300" spans="1:10" x14ac:dyDescent="0.35">
      <c r="A300" s="8">
        <v>44866</v>
      </c>
      <c r="B300" t="s">
        <v>33</v>
      </c>
      <c r="C300" t="s">
        <v>34</v>
      </c>
      <c r="D300" s="6">
        <v>28092</v>
      </c>
      <c r="E300">
        <v>273</v>
      </c>
      <c r="F300">
        <v>248</v>
      </c>
      <c r="G300">
        <v>25</v>
      </c>
      <c r="H300">
        <v>0.09</v>
      </c>
      <c r="I300">
        <v>0.45</v>
      </c>
      <c r="J300">
        <v>2022</v>
      </c>
    </row>
    <row r="301" spans="1:10" x14ac:dyDescent="0.35">
      <c r="A301" s="8">
        <v>44896</v>
      </c>
      <c r="B301" t="s">
        <v>33</v>
      </c>
      <c r="C301" t="s">
        <v>34</v>
      </c>
      <c r="D301" s="6">
        <v>27892</v>
      </c>
      <c r="E301">
        <v>272</v>
      </c>
      <c r="F301">
        <v>472</v>
      </c>
      <c r="G301">
        <v>-200</v>
      </c>
      <c r="H301">
        <v>-0.71</v>
      </c>
      <c r="I301">
        <v>-0.47</v>
      </c>
      <c r="J301">
        <v>2022</v>
      </c>
    </row>
    <row r="302" spans="1:10" x14ac:dyDescent="0.35">
      <c r="A302" s="8">
        <v>44927</v>
      </c>
      <c r="B302" t="s">
        <v>33</v>
      </c>
      <c r="C302" t="s">
        <v>34</v>
      </c>
      <c r="D302" s="6">
        <v>28802</v>
      </c>
      <c r="E302">
        <v>1110</v>
      </c>
      <c r="F302">
        <v>208</v>
      </c>
      <c r="G302">
        <v>910</v>
      </c>
      <c r="H302">
        <v>3.26</v>
      </c>
      <c r="I302">
        <v>-0.2</v>
      </c>
      <c r="J302">
        <v>2023</v>
      </c>
    </row>
    <row r="303" spans="1:10" x14ac:dyDescent="0.35">
      <c r="A303" s="8">
        <v>44958</v>
      </c>
      <c r="B303" t="s">
        <v>33</v>
      </c>
      <c r="C303" t="s">
        <v>34</v>
      </c>
      <c r="D303" s="6">
        <v>28640</v>
      </c>
      <c r="E303">
        <v>288</v>
      </c>
      <c r="F303">
        <v>450</v>
      </c>
      <c r="G303">
        <v>-162</v>
      </c>
      <c r="H303">
        <v>-0.56000000000000005</v>
      </c>
      <c r="I303">
        <v>0.19</v>
      </c>
      <c r="J303">
        <v>2023</v>
      </c>
    </row>
    <row r="304" spans="1:10" x14ac:dyDescent="0.35">
      <c r="A304" s="8">
        <v>44986</v>
      </c>
      <c r="B304" t="s">
        <v>33</v>
      </c>
      <c r="C304" t="s">
        <v>34</v>
      </c>
      <c r="D304" s="6">
        <v>28188</v>
      </c>
      <c r="E304">
        <v>304</v>
      </c>
      <c r="F304">
        <v>756</v>
      </c>
      <c r="G304">
        <v>-452</v>
      </c>
      <c r="H304">
        <v>-1.58</v>
      </c>
      <c r="I304">
        <v>-0.28999999999999998</v>
      </c>
      <c r="J304">
        <v>2023</v>
      </c>
    </row>
    <row r="305" spans="1:10" x14ac:dyDescent="0.35">
      <c r="A305" s="8">
        <v>45017</v>
      </c>
      <c r="B305" t="s">
        <v>33</v>
      </c>
      <c r="C305" t="s">
        <v>34</v>
      </c>
      <c r="D305" s="6">
        <v>28147</v>
      </c>
      <c r="E305">
        <v>301</v>
      </c>
      <c r="F305">
        <v>352</v>
      </c>
      <c r="G305">
        <v>-41</v>
      </c>
      <c r="H305">
        <v>-0.15</v>
      </c>
      <c r="I305">
        <v>0.12</v>
      </c>
      <c r="J305">
        <v>2023</v>
      </c>
    </row>
    <row r="306" spans="1:10" x14ac:dyDescent="0.35">
      <c r="A306" s="8">
        <v>45047</v>
      </c>
      <c r="B306" t="s">
        <v>33</v>
      </c>
      <c r="C306" t="s">
        <v>34</v>
      </c>
      <c r="D306" s="6">
        <v>28144</v>
      </c>
      <c r="E306">
        <v>318</v>
      </c>
      <c r="F306">
        <v>321</v>
      </c>
      <c r="G306">
        <v>-3</v>
      </c>
      <c r="H306">
        <v>-0.01</v>
      </c>
      <c r="I306">
        <v>0.11</v>
      </c>
      <c r="J306">
        <v>2023</v>
      </c>
    </row>
    <row r="307" spans="1:10" x14ac:dyDescent="0.35">
      <c r="A307" s="8">
        <v>45078</v>
      </c>
      <c r="B307" t="s">
        <v>33</v>
      </c>
      <c r="C307" t="s">
        <v>34</v>
      </c>
      <c r="D307" s="6">
        <v>28100</v>
      </c>
      <c r="E307">
        <v>289</v>
      </c>
      <c r="F307">
        <v>333</v>
      </c>
      <c r="G307">
        <v>-44</v>
      </c>
      <c r="H307">
        <v>-0.16</v>
      </c>
      <c r="I307">
        <v>-0.05</v>
      </c>
      <c r="J307">
        <v>2023</v>
      </c>
    </row>
    <row r="308" spans="1:10" x14ac:dyDescent="0.35">
      <c r="A308" s="8">
        <v>45108</v>
      </c>
      <c r="B308" t="s">
        <v>33</v>
      </c>
      <c r="C308" t="s">
        <v>34</v>
      </c>
      <c r="D308" s="6">
        <v>28074</v>
      </c>
      <c r="E308">
        <v>290</v>
      </c>
      <c r="F308">
        <v>316</v>
      </c>
      <c r="G308">
        <v>-26</v>
      </c>
      <c r="H308">
        <v>-0.09</v>
      </c>
      <c r="I308">
        <v>0.12</v>
      </c>
      <c r="J308">
        <v>2023</v>
      </c>
    </row>
    <row r="309" spans="1:10" x14ac:dyDescent="0.35">
      <c r="A309" s="8">
        <v>45139</v>
      </c>
      <c r="B309" t="s">
        <v>33</v>
      </c>
      <c r="C309" t="s">
        <v>34</v>
      </c>
      <c r="D309" s="6">
        <v>28103</v>
      </c>
      <c r="E309">
        <v>253</v>
      </c>
      <c r="F309">
        <v>224</v>
      </c>
      <c r="G309">
        <v>29</v>
      </c>
      <c r="H309">
        <v>0.1</v>
      </c>
      <c r="I309">
        <v>-0.14000000000000001</v>
      </c>
      <c r="J309">
        <v>2023</v>
      </c>
    </row>
    <row r="310" spans="1:10" x14ac:dyDescent="0.35">
      <c r="A310" s="8">
        <v>45170</v>
      </c>
      <c r="B310" t="s">
        <v>33</v>
      </c>
      <c r="C310" t="s">
        <v>34</v>
      </c>
      <c r="D310" s="6">
        <v>28142</v>
      </c>
      <c r="E310">
        <v>311</v>
      </c>
      <c r="F310">
        <v>272</v>
      </c>
      <c r="G310">
        <v>39</v>
      </c>
      <c r="H310">
        <v>0.14000000000000001</v>
      </c>
      <c r="I310">
        <v>0.17</v>
      </c>
      <c r="J310">
        <v>2023</v>
      </c>
    </row>
    <row r="311" spans="1:10" x14ac:dyDescent="0.35">
      <c r="A311" s="8">
        <v>45200</v>
      </c>
      <c r="B311" t="s">
        <v>33</v>
      </c>
      <c r="C311" t="s">
        <v>34</v>
      </c>
      <c r="D311" s="6">
        <v>28166</v>
      </c>
      <c r="E311">
        <v>379</v>
      </c>
      <c r="F311">
        <v>355</v>
      </c>
      <c r="G311">
        <v>24</v>
      </c>
      <c r="H311">
        <v>0.09</v>
      </c>
      <c r="I311">
        <v>0.35</v>
      </c>
      <c r="J311">
        <v>2023</v>
      </c>
    </row>
    <row r="312" spans="1:10" x14ac:dyDescent="0.35">
      <c r="A312" s="8">
        <v>45231</v>
      </c>
      <c r="B312" t="s">
        <v>33</v>
      </c>
      <c r="C312" t="s">
        <v>34</v>
      </c>
      <c r="D312" s="6">
        <v>28216</v>
      </c>
      <c r="E312">
        <v>304</v>
      </c>
      <c r="F312">
        <v>254</v>
      </c>
      <c r="G312">
        <v>50</v>
      </c>
      <c r="H312">
        <v>0.18</v>
      </c>
      <c r="I312">
        <v>0.44</v>
      </c>
      <c r="J312">
        <v>2023</v>
      </c>
    </row>
    <row r="313" spans="1:10" x14ac:dyDescent="0.35">
      <c r="A313" s="8">
        <v>45261</v>
      </c>
      <c r="B313" t="s">
        <v>33</v>
      </c>
      <c r="C313" t="s">
        <v>34</v>
      </c>
      <c r="D313" s="6">
        <v>28031</v>
      </c>
      <c r="E313">
        <v>295</v>
      </c>
      <c r="F313">
        <v>480</v>
      </c>
      <c r="G313">
        <v>-185</v>
      </c>
      <c r="H313">
        <v>-0.66</v>
      </c>
      <c r="I313">
        <v>0.5</v>
      </c>
      <c r="J313">
        <v>2023</v>
      </c>
    </row>
    <row r="314" spans="1:10" x14ac:dyDescent="0.35">
      <c r="A314" s="8">
        <v>45292</v>
      </c>
      <c r="B314" t="s">
        <v>33</v>
      </c>
      <c r="C314" t="s">
        <v>34</v>
      </c>
      <c r="D314" s="6">
        <v>28975</v>
      </c>
      <c r="E314">
        <v>1164</v>
      </c>
      <c r="F314">
        <v>220</v>
      </c>
      <c r="G314">
        <v>944</v>
      </c>
      <c r="H314">
        <v>3.37</v>
      </c>
      <c r="I314">
        <v>0.6</v>
      </c>
      <c r="J314">
        <v>2024</v>
      </c>
    </row>
    <row r="315" spans="1:10" x14ac:dyDescent="0.35">
      <c r="A315" s="8">
        <v>45323</v>
      </c>
      <c r="B315" t="s">
        <v>33</v>
      </c>
      <c r="C315" t="s">
        <v>34</v>
      </c>
      <c r="D315" s="6">
        <v>28764</v>
      </c>
      <c r="E315">
        <v>266</v>
      </c>
      <c r="F315">
        <v>477</v>
      </c>
      <c r="G315">
        <v>-211</v>
      </c>
      <c r="H315">
        <v>-0.73</v>
      </c>
      <c r="I315">
        <v>0.43</v>
      </c>
      <c r="J315">
        <v>2024</v>
      </c>
    </row>
    <row r="316" spans="1:10" x14ac:dyDescent="0.35">
      <c r="A316" s="8">
        <v>45352</v>
      </c>
      <c r="B316" t="s">
        <v>33</v>
      </c>
      <c r="C316" t="s">
        <v>34</v>
      </c>
      <c r="D316" s="6">
        <v>28564</v>
      </c>
      <c r="E316">
        <v>291</v>
      </c>
      <c r="F316">
        <v>491</v>
      </c>
      <c r="G316">
        <v>-200</v>
      </c>
      <c r="H316">
        <v>-0.7</v>
      </c>
      <c r="I316">
        <v>1.33</v>
      </c>
      <c r="J316">
        <v>2024</v>
      </c>
    </row>
    <row r="317" spans="1:10" x14ac:dyDescent="0.35">
      <c r="A317" s="8">
        <v>45383</v>
      </c>
      <c r="B317" t="s">
        <v>33</v>
      </c>
      <c r="C317" t="s">
        <v>34</v>
      </c>
      <c r="D317" s="6">
        <v>28378</v>
      </c>
      <c r="E317">
        <v>303</v>
      </c>
      <c r="F317">
        <v>489</v>
      </c>
      <c r="G317">
        <v>-186</v>
      </c>
      <c r="H317">
        <v>-0.65</v>
      </c>
      <c r="I317">
        <v>0.82</v>
      </c>
      <c r="J317">
        <v>2024</v>
      </c>
    </row>
    <row r="318" spans="1:10" x14ac:dyDescent="0.35">
      <c r="A318" s="8">
        <v>45413</v>
      </c>
      <c r="B318" t="s">
        <v>33</v>
      </c>
      <c r="C318" t="s">
        <v>34</v>
      </c>
      <c r="D318" s="6">
        <v>28270</v>
      </c>
      <c r="E318">
        <v>281</v>
      </c>
      <c r="F318">
        <v>389</v>
      </c>
      <c r="G318">
        <v>-108</v>
      </c>
      <c r="H318">
        <v>-0.38</v>
      </c>
      <c r="I318">
        <v>0.45</v>
      </c>
      <c r="J318">
        <v>2024</v>
      </c>
    </row>
    <row r="319" spans="1:10" x14ac:dyDescent="0.35">
      <c r="A319" s="8">
        <v>45444</v>
      </c>
      <c r="B319" t="s">
        <v>33</v>
      </c>
      <c r="C319" t="s">
        <v>34</v>
      </c>
      <c r="D319" s="6">
        <v>28329</v>
      </c>
      <c r="E319">
        <v>259</v>
      </c>
      <c r="F319">
        <v>200</v>
      </c>
      <c r="G319">
        <v>59</v>
      </c>
      <c r="H319">
        <v>0.21</v>
      </c>
      <c r="I319">
        <v>0.81</v>
      </c>
      <c r="J319">
        <v>2024</v>
      </c>
    </row>
    <row r="320" spans="1:10" x14ac:dyDescent="0.35">
      <c r="A320" s="8">
        <v>45474</v>
      </c>
      <c r="B320" t="s">
        <v>33</v>
      </c>
      <c r="C320" t="s">
        <v>34</v>
      </c>
      <c r="D320" s="6">
        <v>28221</v>
      </c>
      <c r="E320">
        <v>281</v>
      </c>
      <c r="F320">
        <v>389</v>
      </c>
      <c r="G320">
        <v>-108</v>
      </c>
      <c r="H320">
        <v>-0.38</v>
      </c>
      <c r="I320">
        <v>0.52</v>
      </c>
      <c r="J320">
        <v>2024</v>
      </c>
    </row>
    <row r="321" spans="1:10" x14ac:dyDescent="0.35">
      <c r="A321" s="8">
        <v>45505</v>
      </c>
      <c r="B321" t="s">
        <v>33</v>
      </c>
      <c r="C321" t="s">
        <v>34</v>
      </c>
      <c r="D321" s="6">
        <v>28243</v>
      </c>
      <c r="E321">
        <v>302</v>
      </c>
      <c r="F321">
        <v>280</v>
      </c>
      <c r="G321">
        <v>22</v>
      </c>
      <c r="H321">
        <v>0.08</v>
      </c>
      <c r="I321">
        <v>0.5</v>
      </c>
      <c r="J321">
        <v>2024</v>
      </c>
    </row>
    <row r="322" spans="1:10" x14ac:dyDescent="0.35">
      <c r="A322" s="8">
        <v>45536</v>
      </c>
      <c r="B322" t="s">
        <v>33</v>
      </c>
      <c r="C322" t="s">
        <v>34</v>
      </c>
      <c r="D322" s="6">
        <v>28276</v>
      </c>
      <c r="E322">
        <v>246</v>
      </c>
      <c r="F322">
        <v>213</v>
      </c>
      <c r="G322">
        <v>33</v>
      </c>
      <c r="H322">
        <v>0.12</v>
      </c>
      <c r="I322">
        <v>0.48</v>
      </c>
      <c r="J322">
        <v>2024</v>
      </c>
    </row>
    <row r="323" spans="1:10" x14ac:dyDescent="0.35">
      <c r="A323" s="8">
        <v>45566</v>
      </c>
      <c r="B323" t="s">
        <v>33</v>
      </c>
      <c r="C323" t="s">
        <v>34</v>
      </c>
      <c r="D323" s="6">
        <v>28116</v>
      </c>
      <c r="E323">
        <v>264</v>
      </c>
      <c r="F323">
        <v>424</v>
      </c>
      <c r="G323">
        <v>-160</v>
      </c>
      <c r="H323">
        <v>-0.56999999999999995</v>
      </c>
      <c r="I323">
        <v>-0.18</v>
      </c>
      <c r="J323">
        <v>2024</v>
      </c>
    </row>
    <row r="324" spans="1:10" x14ac:dyDescent="0.35">
      <c r="A324" s="8">
        <v>45597</v>
      </c>
      <c r="B324" t="s">
        <v>33</v>
      </c>
      <c r="C324" t="s">
        <v>34</v>
      </c>
      <c r="D324" s="6">
        <v>28106</v>
      </c>
      <c r="E324">
        <v>253</v>
      </c>
      <c r="F324">
        <v>263</v>
      </c>
      <c r="G324">
        <v>-10</v>
      </c>
      <c r="H324">
        <v>-0.04</v>
      </c>
      <c r="I324">
        <v>-0.39</v>
      </c>
      <c r="J324">
        <v>2024</v>
      </c>
    </row>
    <row r="325" spans="1:10" x14ac:dyDescent="0.35">
      <c r="A325" s="8">
        <v>45627</v>
      </c>
      <c r="B325" t="s">
        <v>33</v>
      </c>
      <c r="C325" t="s">
        <v>34</v>
      </c>
      <c r="D325" s="6">
        <v>28214</v>
      </c>
      <c r="E325">
        <v>301</v>
      </c>
      <c r="F325">
        <v>202</v>
      </c>
      <c r="G325">
        <v>108</v>
      </c>
      <c r="H325">
        <v>0.38</v>
      </c>
      <c r="I325">
        <v>0.65</v>
      </c>
      <c r="J325">
        <v>2024</v>
      </c>
    </row>
    <row r="326" spans="1:10" x14ac:dyDescent="0.35">
      <c r="A326" s="8">
        <v>45658</v>
      </c>
      <c r="B326" t="s">
        <v>33</v>
      </c>
      <c r="C326" t="s">
        <v>34</v>
      </c>
      <c r="D326" s="6">
        <v>29006</v>
      </c>
      <c r="E326">
        <v>1093</v>
      </c>
      <c r="F326">
        <v>312</v>
      </c>
      <c r="G326">
        <v>792</v>
      </c>
      <c r="H326">
        <v>2.81</v>
      </c>
      <c r="I326">
        <v>0.11</v>
      </c>
      <c r="J326">
        <v>2025</v>
      </c>
    </row>
    <row r="327" spans="1:10" x14ac:dyDescent="0.35">
      <c r="A327" s="8">
        <v>45689</v>
      </c>
      <c r="B327" t="s">
        <v>33</v>
      </c>
      <c r="C327" t="s">
        <v>34</v>
      </c>
      <c r="D327" s="6">
        <v>28746</v>
      </c>
      <c r="E327">
        <v>275</v>
      </c>
      <c r="F327">
        <v>535</v>
      </c>
      <c r="G327">
        <v>-260</v>
      </c>
      <c r="H327">
        <v>-0.9</v>
      </c>
      <c r="I327">
        <v>-0.06</v>
      </c>
      <c r="J327">
        <v>2025</v>
      </c>
    </row>
    <row r="328" spans="1:10" x14ac:dyDescent="0.35">
      <c r="A328" s="8">
        <v>45717</v>
      </c>
      <c r="B328" t="s">
        <v>33</v>
      </c>
      <c r="C328" t="s">
        <v>34</v>
      </c>
      <c r="D328" s="6">
        <v>28735</v>
      </c>
      <c r="E328">
        <v>303</v>
      </c>
      <c r="F328">
        <v>314</v>
      </c>
      <c r="G328">
        <v>-11</v>
      </c>
      <c r="H328">
        <v>-0.04</v>
      </c>
      <c r="I328">
        <v>0.6</v>
      </c>
      <c r="J328">
        <v>2025</v>
      </c>
    </row>
    <row r="329" spans="1:10" x14ac:dyDescent="0.35">
      <c r="A329" s="8">
        <v>45748</v>
      </c>
      <c r="B329" t="s">
        <v>33</v>
      </c>
      <c r="C329" t="s">
        <v>34</v>
      </c>
      <c r="D329" s="6">
        <v>28533</v>
      </c>
      <c r="E329">
        <v>290</v>
      </c>
      <c r="F329">
        <v>492</v>
      </c>
      <c r="G329">
        <v>-202</v>
      </c>
      <c r="H329">
        <v>-0.7</v>
      </c>
      <c r="I329">
        <v>0.55000000000000004</v>
      </c>
      <c r="J329">
        <v>2025</v>
      </c>
    </row>
    <row r="330" spans="1:10" x14ac:dyDescent="0.35">
      <c r="A330" s="8">
        <v>45778</v>
      </c>
      <c r="B330" t="s">
        <v>33</v>
      </c>
      <c r="C330" t="s">
        <v>34</v>
      </c>
      <c r="D330" s="6">
        <v>28467</v>
      </c>
      <c r="E330">
        <v>274</v>
      </c>
      <c r="F330">
        <v>340</v>
      </c>
      <c r="G330">
        <v>-66</v>
      </c>
      <c r="H330">
        <v>-0.23</v>
      </c>
      <c r="I330">
        <v>0.7</v>
      </c>
      <c r="J330">
        <v>2025</v>
      </c>
    </row>
    <row r="331" spans="1:10" x14ac:dyDescent="0.35">
      <c r="A331" s="8">
        <v>45809</v>
      </c>
      <c r="B331" t="s">
        <v>33</v>
      </c>
      <c r="C331" t="s">
        <v>34</v>
      </c>
      <c r="D331" s="6">
        <v>28697</v>
      </c>
      <c r="E331">
        <v>347</v>
      </c>
      <c r="F331">
        <v>161</v>
      </c>
      <c r="G331">
        <v>230</v>
      </c>
      <c r="H331">
        <v>0.81</v>
      </c>
      <c r="I331">
        <v>1.3</v>
      </c>
      <c r="J331">
        <v>2025</v>
      </c>
    </row>
    <row r="332" spans="1:10" x14ac:dyDescent="0.35">
      <c r="A332" s="8">
        <v>45839</v>
      </c>
      <c r="B332" t="s">
        <v>33</v>
      </c>
      <c r="C332" t="s">
        <v>34</v>
      </c>
      <c r="D332" s="6">
        <v>28559</v>
      </c>
      <c r="E332">
        <v>271</v>
      </c>
      <c r="F332">
        <v>409</v>
      </c>
      <c r="G332">
        <v>-138</v>
      </c>
      <c r="H332">
        <v>-0.48</v>
      </c>
      <c r="I332">
        <v>1.2</v>
      </c>
      <c r="J332">
        <v>2025</v>
      </c>
    </row>
    <row r="333" spans="1:10" x14ac:dyDescent="0.35">
      <c r="A333" s="8">
        <v>45870</v>
      </c>
      <c r="B333" t="s">
        <v>33</v>
      </c>
      <c r="C333" t="s">
        <v>34</v>
      </c>
      <c r="D333" s="6">
        <v>28388</v>
      </c>
      <c r="E333">
        <v>298</v>
      </c>
      <c r="F333">
        <v>469</v>
      </c>
      <c r="G333">
        <v>-171</v>
      </c>
      <c r="H333">
        <v>-0.6</v>
      </c>
      <c r="I333">
        <v>0.51</v>
      </c>
      <c r="J333">
        <v>2025</v>
      </c>
    </row>
    <row r="334" spans="1:10" x14ac:dyDescent="0.35">
      <c r="A334" s="8">
        <v>45901</v>
      </c>
      <c r="B334" t="s">
        <v>33</v>
      </c>
      <c r="C334" t="s">
        <v>34</v>
      </c>
      <c r="D334" s="6">
        <v>28479</v>
      </c>
      <c r="E334">
        <v>278</v>
      </c>
      <c r="F334">
        <v>187</v>
      </c>
      <c r="G334">
        <v>91</v>
      </c>
      <c r="H334">
        <v>0.32</v>
      </c>
      <c r="I334">
        <v>0.72</v>
      </c>
      <c r="J334">
        <v>2025</v>
      </c>
    </row>
    <row r="335" spans="1:10" x14ac:dyDescent="0.35">
      <c r="A335" s="8">
        <v>45931</v>
      </c>
      <c r="B335" t="s">
        <v>33</v>
      </c>
      <c r="C335" t="s">
        <v>34</v>
      </c>
      <c r="D335" s="6">
        <v>28369</v>
      </c>
      <c r="E335">
        <v>275</v>
      </c>
      <c r="F335">
        <v>385</v>
      </c>
      <c r="G335">
        <v>-110</v>
      </c>
      <c r="H335">
        <v>-0.39</v>
      </c>
      <c r="I335">
        <v>0.9</v>
      </c>
      <c r="J335">
        <v>2025</v>
      </c>
    </row>
    <row r="336" spans="1:10" x14ac:dyDescent="0.35">
      <c r="A336" s="8">
        <v>45962</v>
      </c>
      <c r="B336" t="s">
        <v>33</v>
      </c>
      <c r="C336" t="s">
        <v>34</v>
      </c>
      <c r="D336" s="6">
        <v>28354</v>
      </c>
      <c r="E336">
        <v>313</v>
      </c>
      <c r="F336">
        <v>328</v>
      </c>
      <c r="G336">
        <v>-15</v>
      </c>
      <c r="H336">
        <v>-0.05</v>
      </c>
      <c r="I336">
        <v>0.88</v>
      </c>
      <c r="J336">
        <v>2025</v>
      </c>
    </row>
    <row r="337" spans="1:10" x14ac:dyDescent="0.35">
      <c r="A337" s="8">
        <v>45992</v>
      </c>
      <c r="B337" t="s">
        <v>33</v>
      </c>
      <c r="C337" t="s">
        <v>34</v>
      </c>
      <c r="D337" s="6">
        <v>28306</v>
      </c>
      <c r="E337">
        <v>285</v>
      </c>
      <c r="F337">
        <v>333</v>
      </c>
      <c r="G337">
        <v>-48</v>
      </c>
      <c r="H337">
        <v>-0.17</v>
      </c>
      <c r="I337">
        <v>0.33</v>
      </c>
      <c r="J337">
        <v>2025</v>
      </c>
    </row>
    <row r="338" spans="1:10" x14ac:dyDescent="0.35">
      <c r="A338" s="8">
        <v>46023</v>
      </c>
      <c r="B338" t="s">
        <v>33</v>
      </c>
      <c r="C338" t="s">
        <v>34</v>
      </c>
      <c r="D338" s="6">
        <v>29213</v>
      </c>
      <c r="E338">
        <v>1131</v>
      </c>
      <c r="F338">
        <v>224</v>
      </c>
      <c r="G338">
        <v>907</v>
      </c>
      <c r="H338">
        <v>3.2</v>
      </c>
      <c r="I338">
        <v>0.71</v>
      </c>
      <c r="J338">
        <v>2026</v>
      </c>
    </row>
    <row r="339" spans="1:10" x14ac:dyDescent="0.35">
      <c r="A339" s="8">
        <v>46054</v>
      </c>
      <c r="B339" t="s">
        <v>33</v>
      </c>
      <c r="C339" t="s">
        <v>34</v>
      </c>
      <c r="D339" s="6">
        <v>28851</v>
      </c>
      <c r="E339">
        <v>272</v>
      </c>
      <c r="F339">
        <v>634</v>
      </c>
      <c r="G339">
        <v>-362</v>
      </c>
      <c r="H339">
        <v>-1.24</v>
      </c>
      <c r="I339">
        <v>0.37</v>
      </c>
      <c r="J339">
        <v>2026</v>
      </c>
    </row>
    <row r="340" spans="1:10" x14ac:dyDescent="0.35">
      <c r="A340" s="8">
        <v>46082</v>
      </c>
      <c r="B340" t="s">
        <v>33</v>
      </c>
      <c r="C340" t="s">
        <v>34</v>
      </c>
      <c r="D340" s="6">
        <v>28560</v>
      </c>
      <c r="E340">
        <v>273</v>
      </c>
      <c r="F340">
        <v>564</v>
      </c>
      <c r="G340">
        <v>-291</v>
      </c>
      <c r="H340">
        <v>-1.01</v>
      </c>
      <c r="I340">
        <v>-0.61</v>
      </c>
      <c r="J340">
        <v>2026</v>
      </c>
    </row>
    <row r="341" spans="1:10" x14ac:dyDescent="0.35">
      <c r="A341" s="8">
        <v>46113</v>
      </c>
      <c r="B341" t="s">
        <v>33</v>
      </c>
      <c r="C341" t="s">
        <v>34</v>
      </c>
      <c r="D341" s="6">
        <v>28547</v>
      </c>
      <c r="E341">
        <v>279</v>
      </c>
      <c r="F341">
        <v>292</v>
      </c>
      <c r="G341">
        <v>-13</v>
      </c>
      <c r="H341">
        <v>-0.05</v>
      </c>
      <c r="I341">
        <v>0.05</v>
      </c>
      <c r="J341">
        <v>2026</v>
      </c>
    </row>
    <row r="342" spans="1:10" x14ac:dyDescent="0.35">
      <c r="A342" s="8">
        <v>46143</v>
      </c>
      <c r="B342" t="s">
        <v>33</v>
      </c>
      <c r="C342" t="s">
        <v>34</v>
      </c>
      <c r="D342" s="6">
        <v>28419</v>
      </c>
      <c r="E342">
        <v>323</v>
      </c>
      <c r="F342">
        <v>451</v>
      </c>
      <c r="G342">
        <v>-128</v>
      </c>
      <c r="H342">
        <v>-0.45</v>
      </c>
      <c r="I342">
        <v>-0.17</v>
      </c>
      <c r="J342">
        <v>2026</v>
      </c>
    </row>
    <row r="343" spans="1:10" x14ac:dyDescent="0.35">
      <c r="A343" s="8">
        <v>46174</v>
      </c>
      <c r="B343" t="s">
        <v>33</v>
      </c>
      <c r="C343" t="s">
        <v>34</v>
      </c>
      <c r="D343" s="6">
        <v>28290</v>
      </c>
      <c r="E343">
        <v>274</v>
      </c>
      <c r="F343">
        <v>403</v>
      </c>
      <c r="G343">
        <v>-129</v>
      </c>
      <c r="H343">
        <v>-0.45</v>
      </c>
      <c r="I343">
        <v>-1.42</v>
      </c>
      <c r="J343">
        <v>2026</v>
      </c>
    </row>
    <row r="344" spans="1:10" x14ac:dyDescent="0.35">
      <c r="A344" s="8">
        <v>46204</v>
      </c>
      <c r="B344" t="s">
        <v>33</v>
      </c>
      <c r="C344" t="s">
        <v>34</v>
      </c>
      <c r="D344" s="6">
        <v>28428</v>
      </c>
      <c r="E344">
        <v>381</v>
      </c>
      <c r="F344">
        <v>258</v>
      </c>
      <c r="G344">
        <v>138</v>
      </c>
      <c r="H344">
        <v>0.49</v>
      </c>
      <c r="I344">
        <v>-0.46</v>
      </c>
      <c r="J344">
        <v>2026</v>
      </c>
    </row>
    <row r="345" spans="1:10" x14ac:dyDescent="0.35">
      <c r="A345" s="8">
        <v>46235</v>
      </c>
      <c r="B345" t="s">
        <v>33</v>
      </c>
      <c r="C345" t="s">
        <v>34</v>
      </c>
      <c r="D345" s="6">
        <v>28247</v>
      </c>
      <c r="E345">
        <v>282</v>
      </c>
      <c r="F345">
        <v>463</v>
      </c>
      <c r="G345">
        <v>-181</v>
      </c>
      <c r="H345">
        <v>-0.64</v>
      </c>
      <c r="I345">
        <v>-0.5</v>
      </c>
      <c r="J345">
        <v>2026</v>
      </c>
    </row>
    <row r="346" spans="1:10" x14ac:dyDescent="0.35">
      <c r="A346" s="8">
        <v>46266</v>
      </c>
      <c r="B346" t="s">
        <v>33</v>
      </c>
      <c r="C346" t="s">
        <v>34</v>
      </c>
      <c r="D346" s="6">
        <v>28476</v>
      </c>
      <c r="E346">
        <v>378</v>
      </c>
      <c r="F346">
        <v>154</v>
      </c>
      <c r="G346">
        <v>229</v>
      </c>
      <c r="H346">
        <v>0.81</v>
      </c>
      <c r="I346">
        <v>-0.01</v>
      </c>
      <c r="J346">
        <v>2026</v>
      </c>
    </row>
    <row r="347" spans="1:10" x14ac:dyDescent="0.35">
      <c r="A347" s="8">
        <v>44197</v>
      </c>
      <c r="B347" t="s">
        <v>35</v>
      </c>
      <c r="C347" t="s">
        <v>30</v>
      </c>
      <c r="D347" s="6">
        <v>54777</v>
      </c>
      <c r="E347">
        <v>1300</v>
      </c>
      <c r="F347">
        <v>0</v>
      </c>
      <c r="J347">
        <v>2021</v>
      </c>
    </row>
    <row r="348" spans="1:10" x14ac:dyDescent="0.35">
      <c r="A348" s="8">
        <v>44228</v>
      </c>
      <c r="B348" t="s">
        <v>35</v>
      </c>
      <c r="C348" t="s">
        <v>30</v>
      </c>
      <c r="D348" s="6">
        <v>54859</v>
      </c>
      <c r="E348">
        <v>619</v>
      </c>
      <c r="F348">
        <v>537</v>
      </c>
      <c r="G348">
        <v>82</v>
      </c>
      <c r="H348">
        <v>0.15</v>
      </c>
      <c r="J348">
        <v>2021</v>
      </c>
    </row>
    <row r="349" spans="1:10" x14ac:dyDescent="0.35">
      <c r="A349" s="8">
        <v>44256</v>
      </c>
      <c r="B349" t="s">
        <v>35</v>
      </c>
      <c r="C349" t="s">
        <v>30</v>
      </c>
      <c r="D349" s="6">
        <v>54893</v>
      </c>
      <c r="E349">
        <v>563</v>
      </c>
      <c r="F349">
        <v>529</v>
      </c>
      <c r="G349">
        <v>34</v>
      </c>
      <c r="H349">
        <v>0.06</v>
      </c>
      <c r="J349">
        <v>2021</v>
      </c>
    </row>
    <row r="350" spans="1:10" x14ac:dyDescent="0.35">
      <c r="A350" s="8">
        <v>44287</v>
      </c>
      <c r="B350" t="s">
        <v>35</v>
      </c>
      <c r="C350" t="s">
        <v>30</v>
      </c>
      <c r="D350" s="6">
        <v>54551</v>
      </c>
      <c r="E350">
        <v>559</v>
      </c>
      <c r="F350">
        <v>901</v>
      </c>
      <c r="G350">
        <v>-342</v>
      </c>
      <c r="H350">
        <v>-0.62</v>
      </c>
      <c r="J350">
        <v>2021</v>
      </c>
    </row>
    <row r="351" spans="1:10" x14ac:dyDescent="0.35">
      <c r="A351" s="8">
        <v>44317</v>
      </c>
      <c r="B351" t="s">
        <v>35</v>
      </c>
      <c r="C351" t="s">
        <v>30</v>
      </c>
      <c r="D351" s="6">
        <v>54697</v>
      </c>
      <c r="E351">
        <v>537</v>
      </c>
      <c r="F351">
        <v>391</v>
      </c>
      <c r="G351">
        <v>146</v>
      </c>
      <c r="H351">
        <v>0.27</v>
      </c>
      <c r="J351">
        <v>2021</v>
      </c>
    </row>
    <row r="352" spans="1:10" x14ac:dyDescent="0.35">
      <c r="A352" s="8">
        <v>44348</v>
      </c>
      <c r="B352" t="s">
        <v>35</v>
      </c>
      <c r="C352" t="s">
        <v>30</v>
      </c>
      <c r="D352" s="6">
        <v>54758</v>
      </c>
      <c r="E352">
        <v>561</v>
      </c>
      <c r="F352">
        <v>500</v>
      </c>
      <c r="G352">
        <v>61</v>
      </c>
      <c r="H352">
        <v>0.11</v>
      </c>
      <c r="J352">
        <v>2021</v>
      </c>
    </row>
    <row r="353" spans="1:10" x14ac:dyDescent="0.35">
      <c r="A353" s="8">
        <v>44378</v>
      </c>
      <c r="B353" t="s">
        <v>35</v>
      </c>
      <c r="C353" t="s">
        <v>30</v>
      </c>
      <c r="D353" s="6">
        <v>54414</v>
      </c>
      <c r="E353">
        <v>543</v>
      </c>
      <c r="F353">
        <v>887</v>
      </c>
      <c r="G353">
        <v>-344</v>
      </c>
      <c r="H353">
        <v>-0.63</v>
      </c>
      <c r="J353">
        <v>2021</v>
      </c>
    </row>
    <row r="354" spans="1:10" x14ac:dyDescent="0.35">
      <c r="A354" s="8">
        <v>44409</v>
      </c>
      <c r="B354" t="s">
        <v>35</v>
      </c>
      <c r="C354" t="s">
        <v>30</v>
      </c>
      <c r="D354" s="6">
        <v>54311</v>
      </c>
      <c r="E354">
        <v>489</v>
      </c>
      <c r="F354">
        <v>592</v>
      </c>
      <c r="G354">
        <v>-103</v>
      </c>
      <c r="H354">
        <v>-0.19</v>
      </c>
      <c r="J354">
        <v>2021</v>
      </c>
    </row>
    <row r="355" spans="1:10" x14ac:dyDescent="0.35">
      <c r="A355" s="8">
        <v>44440</v>
      </c>
      <c r="B355" t="s">
        <v>35</v>
      </c>
      <c r="C355" t="s">
        <v>30</v>
      </c>
      <c r="D355" s="6">
        <v>54598</v>
      </c>
      <c r="E355">
        <v>541</v>
      </c>
      <c r="F355">
        <v>254</v>
      </c>
      <c r="G355">
        <v>287</v>
      </c>
      <c r="H355">
        <v>0.53</v>
      </c>
      <c r="J355">
        <v>2021</v>
      </c>
    </row>
    <row r="356" spans="1:10" x14ac:dyDescent="0.35">
      <c r="A356" s="8">
        <v>44470</v>
      </c>
      <c r="B356" t="s">
        <v>35</v>
      </c>
      <c r="C356" t="s">
        <v>30</v>
      </c>
      <c r="D356" s="6">
        <v>53995</v>
      </c>
      <c r="E356">
        <v>552</v>
      </c>
      <c r="F356">
        <v>1155</v>
      </c>
      <c r="G356">
        <v>-603</v>
      </c>
      <c r="H356">
        <v>-1.1000000000000001</v>
      </c>
      <c r="J356">
        <v>2021</v>
      </c>
    </row>
    <row r="357" spans="1:10" x14ac:dyDescent="0.35">
      <c r="A357" s="8">
        <v>44501</v>
      </c>
      <c r="B357" t="s">
        <v>35</v>
      </c>
      <c r="C357" t="s">
        <v>30</v>
      </c>
      <c r="D357" s="6">
        <v>54020</v>
      </c>
      <c r="E357">
        <v>510</v>
      </c>
      <c r="F357">
        <v>485</v>
      </c>
      <c r="G357">
        <v>25</v>
      </c>
      <c r="H357">
        <v>0.05</v>
      </c>
      <c r="J357">
        <v>2021</v>
      </c>
    </row>
    <row r="358" spans="1:10" x14ac:dyDescent="0.35">
      <c r="A358" s="8">
        <v>44531</v>
      </c>
      <c r="B358" t="s">
        <v>35</v>
      </c>
      <c r="C358" t="s">
        <v>30</v>
      </c>
      <c r="D358" s="6">
        <v>54168</v>
      </c>
      <c r="E358">
        <v>556</v>
      </c>
      <c r="F358">
        <v>408</v>
      </c>
      <c r="G358">
        <v>148</v>
      </c>
      <c r="H358">
        <v>0.27</v>
      </c>
      <c r="J358">
        <v>2021</v>
      </c>
    </row>
    <row r="359" spans="1:10" x14ac:dyDescent="0.35">
      <c r="A359" s="8">
        <v>44562</v>
      </c>
      <c r="B359" t="s">
        <v>35</v>
      </c>
      <c r="C359" t="s">
        <v>30</v>
      </c>
      <c r="D359" s="6">
        <v>55079</v>
      </c>
      <c r="E359">
        <v>1497</v>
      </c>
      <c r="F359">
        <v>587</v>
      </c>
      <c r="G359">
        <v>911</v>
      </c>
      <c r="H359">
        <v>1.68</v>
      </c>
      <c r="I359">
        <v>0.55000000000000004</v>
      </c>
      <c r="J359">
        <v>2022</v>
      </c>
    </row>
    <row r="360" spans="1:10" x14ac:dyDescent="0.35">
      <c r="A360" s="8">
        <v>44593</v>
      </c>
      <c r="B360" t="s">
        <v>35</v>
      </c>
      <c r="C360" t="s">
        <v>30</v>
      </c>
      <c r="D360" s="6">
        <v>55077</v>
      </c>
      <c r="E360">
        <v>521</v>
      </c>
      <c r="F360">
        <v>523</v>
      </c>
      <c r="G360">
        <v>-2</v>
      </c>
      <c r="H360">
        <v>0</v>
      </c>
      <c r="I360">
        <v>0.4</v>
      </c>
      <c r="J360">
        <v>2022</v>
      </c>
    </row>
    <row r="361" spans="1:10" x14ac:dyDescent="0.35">
      <c r="A361" s="8">
        <v>44621</v>
      </c>
      <c r="B361" t="s">
        <v>35</v>
      </c>
      <c r="C361" t="s">
        <v>30</v>
      </c>
      <c r="D361" s="6">
        <v>54620</v>
      </c>
      <c r="E361">
        <v>566</v>
      </c>
      <c r="F361">
        <v>1023</v>
      </c>
      <c r="G361">
        <v>-457</v>
      </c>
      <c r="H361">
        <v>-0.83</v>
      </c>
      <c r="I361">
        <v>-0.5</v>
      </c>
      <c r="J361">
        <v>2022</v>
      </c>
    </row>
    <row r="362" spans="1:10" x14ac:dyDescent="0.35">
      <c r="A362" s="8">
        <v>44652</v>
      </c>
      <c r="B362" t="s">
        <v>35</v>
      </c>
      <c r="C362" t="s">
        <v>30</v>
      </c>
      <c r="D362" s="6">
        <v>54500</v>
      </c>
      <c r="E362">
        <v>560</v>
      </c>
      <c r="F362">
        <v>680</v>
      </c>
      <c r="G362">
        <v>-120</v>
      </c>
      <c r="H362">
        <v>-0.22</v>
      </c>
      <c r="I362">
        <v>-0.09</v>
      </c>
      <c r="J362">
        <v>2022</v>
      </c>
    </row>
    <row r="363" spans="1:10" x14ac:dyDescent="0.35">
      <c r="A363" s="8">
        <v>44682</v>
      </c>
      <c r="B363" t="s">
        <v>35</v>
      </c>
      <c r="C363" t="s">
        <v>30</v>
      </c>
      <c r="D363" s="6">
        <v>54667</v>
      </c>
      <c r="E363">
        <v>537</v>
      </c>
      <c r="F363">
        <v>370</v>
      </c>
      <c r="G363">
        <v>167</v>
      </c>
      <c r="H363">
        <v>0.31</v>
      </c>
      <c r="I363">
        <v>-0.05</v>
      </c>
      <c r="J363">
        <v>2022</v>
      </c>
    </row>
    <row r="364" spans="1:10" x14ac:dyDescent="0.35">
      <c r="A364" s="8">
        <v>44713</v>
      </c>
      <c r="B364" t="s">
        <v>35</v>
      </c>
      <c r="C364" t="s">
        <v>30</v>
      </c>
      <c r="D364" s="6">
        <v>54479</v>
      </c>
      <c r="E364">
        <v>564</v>
      </c>
      <c r="F364">
        <v>752</v>
      </c>
      <c r="G364">
        <v>-188</v>
      </c>
      <c r="H364">
        <v>-0.34</v>
      </c>
      <c r="I364">
        <v>-0.51</v>
      </c>
      <c r="J364">
        <v>2022</v>
      </c>
    </row>
    <row r="365" spans="1:10" x14ac:dyDescent="0.35">
      <c r="A365" s="8">
        <v>44743</v>
      </c>
      <c r="B365" t="s">
        <v>35</v>
      </c>
      <c r="C365" t="s">
        <v>30</v>
      </c>
      <c r="D365" s="6">
        <v>54426</v>
      </c>
      <c r="E365">
        <v>515</v>
      </c>
      <c r="F365">
        <v>568</v>
      </c>
      <c r="G365">
        <v>-53</v>
      </c>
      <c r="H365">
        <v>-0.1</v>
      </c>
      <c r="I365">
        <v>0.02</v>
      </c>
      <c r="J365">
        <v>2022</v>
      </c>
    </row>
    <row r="366" spans="1:10" x14ac:dyDescent="0.35">
      <c r="A366" s="8">
        <v>44774</v>
      </c>
      <c r="B366" t="s">
        <v>35</v>
      </c>
      <c r="C366" t="s">
        <v>30</v>
      </c>
      <c r="D366" s="6">
        <v>54046</v>
      </c>
      <c r="E366">
        <v>535</v>
      </c>
      <c r="F366">
        <v>915</v>
      </c>
      <c r="G366">
        <v>-380</v>
      </c>
      <c r="H366">
        <v>-0.7</v>
      </c>
      <c r="I366">
        <v>-0.49</v>
      </c>
      <c r="J366">
        <v>2022</v>
      </c>
    </row>
    <row r="367" spans="1:10" x14ac:dyDescent="0.35">
      <c r="A367" s="8">
        <v>44805</v>
      </c>
      <c r="B367" t="s">
        <v>35</v>
      </c>
      <c r="C367" t="s">
        <v>30</v>
      </c>
      <c r="D367" s="6">
        <v>54215</v>
      </c>
      <c r="E367">
        <v>490</v>
      </c>
      <c r="F367">
        <v>354</v>
      </c>
      <c r="G367">
        <v>169</v>
      </c>
      <c r="H367">
        <v>0.31</v>
      </c>
      <c r="I367">
        <v>-0.7</v>
      </c>
      <c r="J367">
        <v>2022</v>
      </c>
    </row>
    <row r="368" spans="1:10" x14ac:dyDescent="0.35">
      <c r="A368" s="8">
        <v>44835</v>
      </c>
      <c r="B368" t="s">
        <v>35</v>
      </c>
      <c r="C368" t="s">
        <v>30</v>
      </c>
      <c r="D368" s="6">
        <v>54124</v>
      </c>
      <c r="E368">
        <v>583</v>
      </c>
      <c r="F368">
        <v>674</v>
      </c>
      <c r="G368">
        <v>-91</v>
      </c>
      <c r="H368">
        <v>-0.17</v>
      </c>
      <c r="I368">
        <v>0.24</v>
      </c>
      <c r="J368">
        <v>2022</v>
      </c>
    </row>
    <row r="369" spans="1:10" x14ac:dyDescent="0.35">
      <c r="A369" s="8">
        <v>44866</v>
      </c>
      <c r="B369" t="s">
        <v>35</v>
      </c>
      <c r="C369" t="s">
        <v>30</v>
      </c>
      <c r="D369" s="6">
        <v>54123</v>
      </c>
      <c r="E369">
        <v>484</v>
      </c>
      <c r="F369">
        <v>485</v>
      </c>
      <c r="G369">
        <v>-1</v>
      </c>
      <c r="H369">
        <v>0</v>
      </c>
      <c r="I369">
        <v>0.19</v>
      </c>
      <c r="J369">
        <v>2022</v>
      </c>
    </row>
    <row r="370" spans="1:10" x14ac:dyDescent="0.35">
      <c r="A370" s="8">
        <v>44896</v>
      </c>
      <c r="B370" t="s">
        <v>35</v>
      </c>
      <c r="C370" t="s">
        <v>30</v>
      </c>
      <c r="D370" s="6">
        <v>54035</v>
      </c>
      <c r="E370">
        <v>540</v>
      </c>
      <c r="F370">
        <v>628</v>
      </c>
      <c r="G370">
        <v>-88</v>
      </c>
      <c r="H370">
        <v>-0.16</v>
      </c>
      <c r="I370">
        <v>-0.25</v>
      </c>
      <c r="J370">
        <v>2022</v>
      </c>
    </row>
    <row r="371" spans="1:10" x14ac:dyDescent="0.35">
      <c r="A371" s="8">
        <v>44927</v>
      </c>
      <c r="B371" t="s">
        <v>35</v>
      </c>
      <c r="C371" t="s">
        <v>30</v>
      </c>
      <c r="D371" s="6">
        <v>54761</v>
      </c>
      <c r="E371">
        <v>1325</v>
      </c>
      <c r="F371">
        <v>599</v>
      </c>
      <c r="G371">
        <v>726</v>
      </c>
      <c r="H371">
        <v>1.34</v>
      </c>
      <c r="I371">
        <v>-0.57999999999999996</v>
      </c>
      <c r="J371">
        <v>2023</v>
      </c>
    </row>
    <row r="372" spans="1:10" x14ac:dyDescent="0.35">
      <c r="A372" s="8">
        <v>44958</v>
      </c>
      <c r="B372" t="s">
        <v>35</v>
      </c>
      <c r="C372" t="s">
        <v>30</v>
      </c>
      <c r="D372" s="6">
        <v>54861</v>
      </c>
      <c r="E372">
        <v>529</v>
      </c>
      <c r="F372">
        <v>429</v>
      </c>
      <c r="G372">
        <v>100</v>
      </c>
      <c r="H372">
        <v>0.18</v>
      </c>
      <c r="I372">
        <v>-0.39</v>
      </c>
      <c r="J372">
        <v>2023</v>
      </c>
    </row>
    <row r="373" spans="1:10" x14ac:dyDescent="0.35">
      <c r="A373" s="8">
        <v>44986</v>
      </c>
      <c r="B373" t="s">
        <v>35</v>
      </c>
      <c r="C373" t="s">
        <v>30</v>
      </c>
      <c r="D373" s="6">
        <v>54796</v>
      </c>
      <c r="E373">
        <v>550</v>
      </c>
      <c r="F373">
        <v>615</v>
      </c>
      <c r="G373">
        <v>-65</v>
      </c>
      <c r="H373">
        <v>-0.12</v>
      </c>
      <c r="I373">
        <v>0.32</v>
      </c>
      <c r="J373">
        <v>2023</v>
      </c>
    </row>
    <row r="374" spans="1:10" x14ac:dyDescent="0.35">
      <c r="A374" s="8">
        <v>45017</v>
      </c>
      <c r="B374" t="s">
        <v>35</v>
      </c>
      <c r="C374" t="s">
        <v>30</v>
      </c>
      <c r="D374" s="6">
        <v>54632</v>
      </c>
      <c r="E374">
        <v>548</v>
      </c>
      <c r="F374">
        <v>712</v>
      </c>
      <c r="G374">
        <v>-164</v>
      </c>
      <c r="H374">
        <v>-0.3</v>
      </c>
      <c r="I374">
        <v>0.24</v>
      </c>
      <c r="J374">
        <v>2023</v>
      </c>
    </row>
    <row r="375" spans="1:10" x14ac:dyDescent="0.35">
      <c r="A375" s="8">
        <v>45047</v>
      </c>
      <c r="B375" t="s">
        <v>35</v>
      </c>
      <c r="C375" t="s">
        <v>30</v>
      </c>
      <c r="D375" s="6">
        <v>54591</v>
      </c>
      <c r="E375">
        <v>542</v>
      </c>
      <c r="F375">
        <v>583</v>
      </c>
      <c r="G375">
        <v>-41</v>
      </c>
      <c r="H375">
        <v>-0.08</v>
      </c>
      <c r="I375">
        <v>-0.14000000000000001</v>
      </c>
      <c r="J375">
        <v>2023</v>
      </c>
    </row>
    <row r="376" spans="1:10" x14ac:dyDescent="0.35">
      <c r="A376" s="8">
        <v>45078</v>
      </c>
      <c r="B376" t="s">
        <v>35</v>
      </c>
      <c r="C376" t="s">
        <v>30</v>
      </c>
      <c r="D376" s="6">
        <v>54857</v>
      </c>
      <c r="E376">
        <v>715</v>
      </c>
      <c r="F376">
        <v>470</v>
      </c>
      <c r="G376">
        <v>266</v>
      </c>
      <c r="H376">
        <v>0.49</v>
      </c>
      <c r="I376">
        <v>0.69</v>
      </c>
      <c r="J376">
        <v>2023</v>
      </c>
    </row>
    <row r="377" spans="1:10" x14ac:dyDescent="0.35">
      <c r="A377" s="8">
        <v>45108</v>
      </c>
      <c r="B377" t="s">
        <v>35</v>
      </c>
      <c r="C377" t="s">
        <v>30</v>
      </c>
      <c r="D377" s="6">
        <v>54773</v>
      </c>
      <c r="E377">
        <v>507</v>
      </c>
      <c r="F377">
        <v>591</v>
      </c>
      <c r="G377">
        <v>-84</v>
      </c>
      <c r="H377">
        <v>-0.15</v>
      </c>
      <c r="I377">
        <v>0.64</v>
      </c>
      <c r="J377">
        <v>2023</v>
      </c>
    </row>
    <row r="378" spans="1:10" x14ac:dyDescent="0.35">
      <c r="A378" s="8">
        <v>45139</v>
      </c>
      <c r="B378" t="s">
        <v>35</v>
      </c>
      <c r="C378" t="s">
        <v>30</v>
      </c>
      <c r="D378" s="6">
        <v>54673</v>
      </c>
      <c r="E378">
        <v>542</v>
      </c>
      <c r="F378">
        <v>642</v>
      </c>
      <c r="G378">
        <v>-100</v>
      </c>
      <c r="H378">
        <v>-0.18</v>
      </c>
      <c r="I378">
        <v>1.1599999999999999</v>
      </c>
      <c r="J378">
        <v>2023</v>
      </c>
    </row>
    <row r="379" spans="1:10" x14ac:dyDescent="0.35">
      <c r="A379" s="8">
        <v>45170</v>
      </c>
      <c r="B379" t="s">
        <v>35</v>
      </c>
      <c r="C379" t="s">
        <v>30</v>
      </c>
      <c r="D379" s="6">
        <v>54557</v>
      </c>
      <c r="E379">
        <v>546</v>
      </c>
      <c r="F379">
        <v>662</v>
      </c>
      <c r="G379">
        <v>-116</v>
      </c>
      <c r="H379">
        <v>-0.21</v>
      </c>
      <c r="I379">
        <v>0.63</v>
      </c>
      <c r="J379">
        <v>2023</v>
      </c>
    </row>
    <row r="380" spans="1:10" x14ac:dyDescent="0.35">
      <c r="A380" s="8">
        <v>45200</v>
      </c>
      <c r="B380" t="s">
        <v>35</v>
      </c>
      <c r="C380" t="s">
        <v>30</v>
      </c>
      <c r="D380" s="6">
        <v>54549</v>
      </c>
      <c r="E380">
        <v>493</v>
      </c>
      <c r="F380">
        <v>501</v>
      </c>
      <c r="G380">
        <v>-8</v>
      </c>
      <c r="H380">
        <v>-0.01</v>
      </c>
      <c r="I380">
        <v>0.79</v>
      </c>
      <c r="J380">
        <v>2023</v>
      </c>
    </row>
    <row r="381" spans="1:10" x14ac:dyDescent="0.35">
      <c r="A381" s="8">
        <v>45231</v>
      </c>
      <c r="B381" t="s">
        <v>35</v>
      </c>
      <c r="C381" t="s">
        <v>30</v>
      </c>
      <c r="D381" s="6">
        <v>54539</v>
      </c>
      <c r="E381">
        <v>548</v>
      </c>
      <c r="F381">
        <v>566</v>
      </c>
      <c r="G381">
        <v>-10</v>
      </c>
      <c r="H381">
        <v>-0.02</v>
      </c>
      <c r="I381">
        <v>0.77</v>
      </c>
      <c r="J381">
        <v>2023</v>
      </c>
    </row>
    <row r="382" spans="1:10" x14ac:dyDescent="0.35">
      <c r="A382" s="8">
        <v>45261</v>
      </c>
      <c r="B382" t="s">
        <v>35</v>
      </c>
      <c r="C382" t="s">
        <v>30</v>
      </c>
      <c r="D382" s="6">
        <v>54483</v>
      </c>
      <c r="E382">
        <v>656</v>
      </c>
      <c r="F382">
        <v>712</v>
      </c>
      <c r="G382">
        <v>-56</v>
      </c>
      <c r="H382">
        <v>-0.1</v>
      </c>
      <c r="I382">
        <v>0.83</v>
      </c>
      <c r="J382">
        <v>2023</v>
      </c>
    </row>
    <row r="383" spans="1:10" x14ac:dyDescent="0.35">
      <c r="A383" s="8">
        <v>45292</v>
      </c>
      <c r="B383" t="s">
        <v>35</v>
      </c>
      <c r="C383" t="s">
        <v>30</v>
      </c>
      <c r="D383" s="6">
        <v>55375</v>
      </c>
      <c r="E383">
        <v>1420</v>
      </c>
      <c r="F383">
        <v>528</v>
      </c>
      <c r="G383">
        <v>892</v>
      </c>
      <c r="H383">
        <v>1.64</v>
      </c>
      <c r="I383">
        <v>1.1200000000000001</v>
      </c>
      <c r="J383">
        <v>2024</v>
      </c>
    </row>
    <row r="384" spans="1:10" x14ac:dyDescent="0.35">
      <c r="A384" s="8">
        <v>45323</v>
      </c>
      <c r="B384" t="s">
        <v>35</v>
      </c>
      <c r="C384" t="s">
        <v>30</v>
      </c>
      <c r="D384" s="6">
        <v>55039</v>
      </c>
      <c r="E384">
        <v>544</v>
      </c>
      <c r="F384">
        <v>880</v>
      </c>
      <c r="G384">
        <v>-336</v>
      </c>
      <c r="H384">
        <v>-0.61</v>
      </c>
      <c r="I384">
        <v>0.32</v>
      </c>
      <c r="J384">
        <v>2024</v>
      </c>
    </row>
    <row r="385" spans="1:10" x14ac:dyDescent="0.35">
      <c r="A385" s="8">
        <v>45352</v>
      </c>
      <c r="B385" t="s">
        <v>35</v>
      </c>
      <c r="C385" t="s">
        <v>30</v>
      </c>
      <c r="D385" s="6">
        <v>55152</v>
      </c>
      <c r="E385">
        <v>552</v>
      </c>
      <c r="F385">
        <v>481</v>
      </c>
      <c r="G385">
        <v>113</v>
      </c>
      <c r="H385">
        <v>0.21</v>
      </c>
      <c r="I385">
        <v>0.65</v>
      </c>
      <c r="J385">
        <v>2024</v>
      </c>
    </row>
    <row r="386" spans="1:10" x14ac:dyDescent="0.35">
      <c r="A386" s="8">
        <v>45383</v>
      </c>
      <c r="B386" t="s">
        <v>35</v>
      </c>
      <c r="C386" t="s">
        <v>30</v>
      </c>
      <c r="D386" s="6">
        <v>55027</v>
      </c>
      <c r="E386">
        <v>545</v>
      </c>
      <c r="F386">
        <v>670</v>
      </c>
      <c r="G386">
        <v>-125</v>
      </c>
      <c r="H386">
        <v>-0.23</v>
      </c>
      <c r="I386">
        <v>0.72</v>
      </c>
      <c r="J386">
        <v>2024</v>
      </c>
    </row>
    <row r="387" spans="1:10" x14ac:dyDescent="0.35">
      <c r="A387" s="8">
        <v>45413</v>
      </c>
      <c r="B387" t="s">
        <v>35</v>
      </c>
      <c r="C387" t="s">
        <v>30</v>
      </c>
      <c r="D387" s="6">
        <v>55346</v>
      </c>
      <c r="E387">
        <v>721</v>
      </c>
      <c r="F387">
        <v>433</v>
      </c>
      <c r="G387">
        <v>319</v>
      </c>
      <c r="H387">
        <v>0.57999999999999996</v>
      </c>
      <c r="I387">
        <v>1.38</v>
      </c>
      <c r="J387">
        <v>2024</v>
      </c>
    </row>
    <row r="388" spans="1:10" x14ac:dyDescent="0.35">
      <c r="A388" s="8">
        <v>45444</v>
      </c>
      <c r="B388" t="s">
        <v>35</v>
      </c>
      <c r="C388" t="s">
        <v>30</v>
      </c>
      <c r="D388" s="6">
        <v>54845</v>
      </c>
      <c r="E388">
        <v>515</v>
      </c>
      <c r="F388">
        <v>1016</v>
      </c>
      <c r="G388">
        <v>-501</v>
      </c>
      <c r="H388">
        <v>-0.91</v>
      </c>
      <c r="I388">
        <v>-0.02</v>
      </c>
      <c r="J388">
        <v>2024</v>
      </c>
    </row>
    <row r="389" spans="1:10" x14ac:dyDescent="0.35">
      <c r="A389" s="8">
        <v>45474</v>
      </c>
      <c r="B389" t="s">
        <v>35</v>
      </c>
      <c r="C389" t="s">
        <v>30</v>
      </c>
      <c r="D389" s="6">
        <v>54623</v>
      </c>
      <c r="E389">
        <v>565</v>
      </c>
      <c r="F389">
        <v>787</v>
      </c>
      <c r="G389">
        <v>-222</v>
      </c>
      <c r="H389">
        <v>-0.4</v>
      </c>
      <c r="I389">
        <v>-0.27</v>
      </c>
      <c r="J389">
        <v>2024</v>
      </c>
    </row>
    <row r="390" spans="1:10" x14ac:dyDescent="0.35">
      <c r="A390" s="8">
        <v>45505</v>
      </c>
      <c r="B390" t="s">
        <v>35</v>
      </c>
      <c r="C390" t="s">
        <v>30</v>
      </c>
      <c r="D390" s="6">
        <v>54731</v>
      </c>
      <c r="E390">
        <v>549</v>
      </c>
      <c r="F390">
        <v>441</v>
      </c>
      <c r="G390">
        <v>108</v>
      </c>
      <c r="H390">
        <v>0.2</v>
      </c>
      <c r="I390">
        <v>0.11</v>
      </c>
      <c r="J390">
        <v>2024</v>
      </c>
    </row>
    <row r="391" spans="1:10" x14ac:dyDescent="0.35">
      <c r="A391" s="8">
        <v>45536</v>
      </c>
      <c r="B391" t="s">
        <v>35</v>
      </c>
      <c r="C391" t="s">
        <v>30</v>
      </c>
      <c r="D391" s="6">
        <v>54406</v>
      </c>
      <c r="E391">
        <v>588</v>
      </c>
      <c r="F391">
        <v>913</v>
      </c>
      <c r="G391">
        <v>-325</v>
      </c>
      <c r="H391">
        <v>-0.59</v>
      </c>
      <c r="I391">
        <v>-0.28000000000000003</v>
      </c>
      <c r="J391">
        <v>2024</v>
      </c>
    </row>
    <row r="392" spans="1:10" x14ac:dyDescent="0.35">
      <c r="A392" s="8">
        <v>45566</v>
      </c>
      <c r="B392" t="s">
        <v>35</v>
      </c>
      <c r="C392" t="s">
        <v>30</v>
      </c>
      <c r="D392" s="6">
        <v>54262</v>
      </c>
      <c r="E392">
        <v>558</v>
      </c>
      <c r="F392">
        <v>702</v>
      </c>
      <c r="G392">
        <v>-144</v>
      </c>
      <c r="H392">
        <v>-0.26</v>
      </c>
      <c r="I392">
        <v>-0.53</v>
      </c>
      <c r="J392">
        <v>2024</v>
      </c>
    </row>
    <row r="393" spans="1:10" x14ac:dyDescent="0.35">
      <c r="A393" s="8">
        <v>45597</v>
      </c>
      <c r="B393" t="s">
        <v>35</v>
      </c>
      <c r="C393" t="s">
        <v>30</v>
      </c>
      <c r="D393" s="6">
        <v>53957</v>
      </c>
      <c r="E393">
        <v>495</v>
      </c>
      <c r="F393">
        <v>800</v>
      </c>
      <c r="G393">
        <v>-305</v>
      </c>
      <c r="H393">
        <v>-0.56000000000000005</v>
      </c>
      <c r="I393">
        <v>-1.07</v>
      </c>
      <c r="J393">
        <v>2024</v>
      </c>
    </row>
    <row r="394" spans="1:10" x14ac:dyDescent="0.35">
      <c r="A394" s="8">
        <v>45627</v>
      </c>
      <c r="B394" t="s">
        <v>35</v>
      </c>
      <c r="C394" t="s">
        <v>30</v>
      </c>
      <c r="D394" s="6">
        <v>54221</v>
      </c>
      <c r="E394">
        <v>602</v>
      </c>
      <c r="F394">
        <v>338</v>
      </c>
      <c r="G394">
        <v>264</v>
      </c>
      <c r="H394">
        <v>0.49</v>
      </c>
      <c r="I394">
        <v>-0.48</v>
      </c>
      <c r="J394">
        <v>2024</v>
      </c>
    </row>
    <row r="395" spans="1:10" x14ac:dyDescent="0.35">
      <c r="A395" s="8">
        <v>45658</v>
      </c>
      <c r="B395" t="s">
        <v>35</v>
      </c>
      <c r="C395" t="s">
        <v>30</v>
      </c>
      <c r="D395" s="6">
        <v>55098</v>
      </c>
      <c r="E395">
        <v>1408</v>
      </c>
      <c r="F395">
        <v>531</v>
      </c>
      <c r="G395">
        <v>877</v>
      </c>
      <c r="H395">
        <v>1.62</v>
      </c>
      <c r="I395">
        <v>-0.5</v>
      </c>
      <c r="J395">
        <v>2025</v>
      </c>
    </row>
    <row r="396" spans="1:10" x14ac:dyDescent="0.35">
      <c r="A396" s="8">
        <v>45689</v>
      </c>
      <c r="B396" t="s">
        <v>35</v>
      </c>
      <c r="C396" t="s">
        <v>30</v>
      </c>
      <c r="D396" s="6">
        <v>54860</v>
      </c>
      <c r="E396">
        <v>547</v>
      </c>
      <c r="F396">
        <v>785</v>
      </c>
      <c r="G396">
        <v>-238</v>
      </c>
      <c r="H396">
        <v>-0.43</v>
      </c>
      <c r="I396">
        <v>-0.33</v>
      </c>
      <c r="J396">
        <v>2025</v>
      </c>
    </row>
    <row r="397" spans="1:10" x14ac:dyDescent="0.35">
      <c r="A397" s="8">
        <v>45717</v>
      </c>
      <c r="B397" t="s">
        <v>35</v>
      </c>
      <c r="C397" t="s">
        <v>30</v>
      </c>
      <c r="D397" s="6">
        <v>54678</v>
      </c>
      <c r="E397">
        <v>519</v>
      </c>
      <c r="F397">
        <v>701</v>
      </c>
      <c r="G397">
        <v>-182</v>
      </c>
      <c r="H397">
        <v>-0.33</v>
      </c>
      <c r="I397">
        <v>-0.86</v>
      </c>
      <c r="J397">
        <v>2025</v>
      </c>
    </row>
    <row r="398" spans="1:10" x14ac:dyDescent="0.35">
      <c r="A398" s="8">
        <v>45748</v>
      </c>
      <c r="B398" t="s">
        <v>35</v>
      </c>
      <c r="C398" t="s">
        <v>30</v>
      </c>
      <c r="D398" s="6">
        <v>54564</v>
      </c>
      <c r="E398">
        <v>501</v>
      </c>
      <c r="F398">
        <v>615</v>
      </c>
      <c r="G398">
        <v>-114</v>
      </c>
      <c r="H398">
        <v>-0.21</v>
      </c>
      <c r="I398">
        <v>-0.84</v>
      </c>
      <c r="J398">
        <v>2025</v>
      </c>
    </row>
    <row r="399" spans="1:10" x14ac:dyDescent="0.35">
      <c r="A399" s="8">
        <v>45778</v>
      </c>
      <c r="B399" t="s">
        <v>35</v>
      </c>
      <c r="C399" t="s">
        <v>30</v>
      </c>
      <c r="D399" s="6">
        <v>54545</v>
      </c>
      <c r="E399">
        <v>515</v>
      </c>
      <c r="F399">
        <v>541</v>
      </c>
      <c r="G399">
        <v>-19</v>
      </c>
      <c r="H399">
        <v>-0.03</v>
      </c>
      <c r="I399">
        <v>-1.45</v>
      </c>
      <c r="J399">
        <v>2025</v>
      </c>
    </row>
    <row r="400" spans="1:10" x14ac:dyDescent="0.35">
      <c r="A400" s="8">
        <v>45809</v>
      </c>
      <c r="B400" t="s">
        <v>35</v>
      </c>
      <c r="C400" t="s">
        <v>30</v>
      </c>
      <c r="D400" s="6">
        <v>54293</v>
      </c>
      <c r="E400">
        <v>500</v>
      </c>
      <c r="F400">
        <v>752</v>
      </c>
      <c r="G400">
        <v>-252</v>
      </c>
      <c r="H400">
        <v>-0.46</v>
      </c>
      <c r="I400">
        <v>-1.01</v>
      </c>
      <c r="J400">
        <v>2025</v>
      </c>
    </row>
    <row r="401" spans="1:10" x14ac:dyDescent="0.35">
      <c r="A401" s="8">
        <v>45839</v>
      </c>
      <c r="B401" t="s">
        <v>35</v>
      </c>
      <c r="C401" t="s">
        <v>30</v>
      </c>
      <c r="D401" s="6">
        <v>53854</v>
      </c>
      <c r="E401">
        <v>505</v>
      </c>
      <c r="F401">
        <v>944</v>
      </c>
      <c r="G401">
        <v>-439</v>
      </c>
      <c r="H401">
        <v>-0.81</v>
      </c>
      <c r="I401">
        <v>-1.41</v>
      </c>
      <c r="J401">
        <v>2025</v>
      </c>
    </row>
    <row r="402" spans="1:10" x14ac:dyDescent="0.35">
      <c r="A402" s="8">
        <v>45870</v>
      </c>
      <c r="B402" t="s">
        <v>35</v>
      </c>
      <c r="C402" t="s">
        <v>30</v>
      </c>
      <c r="D402" s="6">
        <v>54060</v>
      </c>
      <c r="E402">
        <v>609</v>
      </c>
      <c r="F402">
        <v>403</v>
      </c>
      <c r="G402">
        <v>206</v>
      </c>
      <c r="H402">
        <v>0.38</v>
      </c>
      <c r="I402">
        <v>-1.23</v>
      </c>
      <c r="J402">
        <v>2025</v>
      </c>
    </row>
    <row r="403" spans="1:10" x14ac:dyDescent="0.35">
      <c r="A403" s="8">
        <v>45901</v>
      </c>
      <c r="B403" t="s">
        <v>35</v>
      </c>
      <c r="C403" t="s">
        <v>30</v>
      </c>
      <c r="D403" s="6">
        <v>54192</v>
      </c>
      <c r="E403">
        <v>536</v>
      </c>
      <c r="F403">
        <v>404</v>
      </c>
      <c r="G403">
        <v>132</v>
      </c>
      <c r="H403">
        <v>0.24</v>
      </c>
      <c r="I403">
        <v>-0.39</v>
      </c>
      <c r="J403">
        <v>2025</v>
      </c>
    </row>
    <row r="404" spans="1:10" x14ac:dyDescent="0.35">
      <c r="A404" s="8">
        <v>45931</v>
      </c>
      <c r="B404" t="s">
        <v>35</v>
      </c>
      <c r="C404" t="s">
        <v>30</v>
      </c>
      <c r="D404" s="6">
        <v>53943</v>
      </c>
      <c r="E404">
        <v>486</v>
      </c>
      <c r="F404">
        <v>735</v>
      </c>
      <c r="G404">
        <v>-249</v>
      </c>
      <c r="H404">
        <v>-0.46</v>
      </c>
      <c r="I404">
        <v>-0.59</v>
      </c>
      <c r="J404">
        <v>2025</v>
      </c>
    </row>
    <row r="405" spans="1:10" x14ac:dyDescent="0.35">
      <c r="A405" s="8">
        <v>45962</v>
      </c>
      <c r="B405" t="s">
        <v>35</v>
      </c>
      <c r="C405" t="s">
        <v>30</v>
      </c>
      <c r="D405" s="6">
        <v>53965</v>
      </c>
      <c r="E405">
        <v>523</v>
      </c>
      <c r="F405">
        <v>501</v>
      </c>
      <c r="G405">
        <v>22</v>
      </c>
      <c r="H405">
        <v>0.04</v>
      </c>
      <c r="I405">
        <v>0.01</v>
      </c>
      <c r="J405">
        <v>2025</v>
      </c>
    </row>
    <row r="406" spans="1:10" x14ac:dyDescent="0.35">
      <c r="A406" s="8">
        <v>45992</v>
      </c>
      <c r="B406" t="s">
        <v>35</v>
      </c>
      <c r="C406" t="s">
        <v>30</v>
      </c>
      <c r="D406" s="6">
        <v>53739</v>
      </c>
      <c r="E406">
        <v>515</v>
      </c>
      <c r="F406">
        <v>741</v>
      </c>
      <c r="G406">
        <v>-226</v>
      </c>
      <c r="H406">
        <v>-0.42</v>
      </c>
      <c r="I406">
        <v>-0.89</v>
      </c>
      <c r="J406">
        <v>2025</v>
      </c>
    </row>
    <row r="407" spans="1:10" x14ac:dyDescent="0.35">
      <c r="A407" s="8">
        <v>46023</v>
      </c>
      <c r="B407" t="s">
        <v>35</v>
      </c>
      <c r="C407" t="s">
        <v>30</v>
      </c>
      <c r="D407" s="6">
        <v>54534</v>
      </c>
      <c r="E407">
        <v>1283</v>
      </c>
      <c r="F407">
        <v>488</v>
      </c>
      <c r="G407">
        <v>795</v>
      </c>
      <c r="H407">
        <v>1.48</v>
      </c>
      <c r="I407">
        <v>-1.02</v>
      </c>
      <c r="J407">
        <v>2026</v>
      </c>
    </row>
    <row r="408" spans="1:10" x14ac:dyDescent="0.35">
      <c r="A408" s="8">
        <v>46054</v>
      </c>
      <c r="B408" t="s">
        <v>35</v>
      </c>
      <c r="C408" t="s">
        <v>30</v>
      </c>
      <c r="D408" s="6">
        <v>54439</v>
      </c>
      <c r="E408">
        <v>554</v>
      </c>
      <c r="F408">
        <v>649</v>
      </c>
      <c r="G408">
        <v>-95</v>
      </c>
      <c r="H408">
        <v>-0.17</v>
      </c>
      <c r="I408">
        <v>-0.77</v>
      </c>
      <c r="J408">
        <v>2026</v>
      </c>
    </row>
    <row r="409" spans="1:10" x14ac:dyDescent="0.35">
      <c r="A409" s="8">
        <v>46082</v>
      </c>
      <c r="B409" t="s">
        <v>35</v>
      </c>
      <c r="C409" t="s">
        <v>30</v>
      </c>
      <c r="D409" s="6">
        <v>54701</v>
      </c>
      <c r="E409">
        <v>579</v>
      </c>
      <c r="F409">
        <v>317</v>
      </c>
      <c r="G409">
        <v>262</v>
      </c>
      <c r="H409">
        <v>0.48</v>
      </c>
      <c r="I409">
        <v>0.04</v>
      </c>
      <c r="J409">
        <v>2026</v>
      </c>
    </row>
    <row r="410" spans="1:10" x14ac:dyDescent="0.35">
      <c r="A410" s="8">
        <v>46113</v>
      </c>
      <c r="B410" t="s">
        <v>35</v>
      </c>
      <c r="C410" t="s">
        <v>30</v>
      </c>
      <c r="D410" s="6">
        <v>54423</v>
      </c>
      <c r="E410">
        <v>544</v>
      </c>
      <c r="F410">
        <v>822</v>
      </c>
      <c r="G410">
        <v>-278</v>
      </c>
      <c r="H410">
        <v>-0.51</v>
      </c>
      <c r="I410">
        <v>-0.26</v>
      </c>
      <c r="J410">
        <v>2026</v>
      </c>
    </row>
    <row r="411" spans="1:10" x14ac:dyDescent="0.35">
      <c r="A411" s="8">
        <v>46143</v>
      </c>
      <c r="B411" t="s">
        <v>35</v>
      </c>
      <c r="C411" t="s">
        <v>30</v>
      </c>
      <c r="D411" s="6">
        <v>54603</v>
      </c>
      <c r="E411">
        <v>662</v>
      </c>
      <c r="F411">
        <v>482</v>
      </c>
      <c r="G411">
        <v>180</v>
      </c>
      <c r="H411">
        <v>0.33</v>
      </c>
      <c r="I411">
        <v>0.11</v>
      </c>
      <c r="J411">
        <v>2026</v>
      </c>
    </row>
    <row r="412" spans="1:10" x14ac:dyDescent="0.35">
      <c r="A412" s="8">
        <v>46174</v>
      </c>
      <c r="B412" t="s">
        <v>35</v>
      </c>
      <c r="C412" t="s">
        <v>30</v>
      </c>
      <c r="D412" s="6">
        <v>54277</v>
      </c>
      <c r="E412">
        <v>559</v>
      </c>
      <c r="F412">
        <v>885</v>
      </c>
      <c r="G412">
        <v>-326</v>
      </c>
      <c r="H412">
        <v>-0.6</v>
      </c>
      <c r="I412">
        <v>-0.03</v>
      </c>
      <c r="J412">
        <v>2026</v>
      </c>
    </row>
    <row r="413" spans="1:10" x14ac:dyDescent="0.35">
      <c r="A413" s="8">
        <v>46204</v>
      </c>
      <c r="B413" t="s">
        <v>35</v>
      </c>
      <c r="C413" t="s">
        <v>30</v>
      </c>
      <c r="D413" s="6">
        <v>54013</v>
      </c>
      <c r="E413">
        <v>557</v>
      </c>
      <c r="F413">
        <v>821</v>
      </c>
      <c r="G413">
        <v>-264</v>
      </c>
      <c r="H413">
        <v>-0.49</v>
      </c>
      <c r="I413">
        <v>0.3</v>
      </c>
      <c r="J413">
        <v>2026</v>
      </c>
    </row>
    <row r="414" spans="1:10" x14ac:dyDescent="0.35">
      <c r="A414" s="8">
        <v>46235</v>
      </c>
      <c r="B414" t="s">
        <v>35</v>
      </c>
      <c r="C414" t="s">
        <v>30</v>
      </c>
      <c r="D414" s="6">
        <v>53710</v>
      </c>
      <c r="E414">
        <v>556</v>
      </c>
      <c r="F414">
        <v>859</v>
      </c>
      <c r="G414">
        <v>-303</v>
      </c>
      <c r="H414">
        <v>-0.56000000000000005</v>
      </c>
      <c r="I414">
        <v>-0.65</v>
      </c>
      <c r="J414">
        <v>2026</v>
      </c>
    </row>
    <row r="415" spans="1:10" x14ac:dyDescent="0.35">
      <c r="A415" s="8">
        <v>46266</v>
      </c>
      <c r="B415" t="s">
        <v>35</v>
      </c>
      <c r="C415" t="s">
        <v>30</v>
      </c>
      <c r="D415" s="6">
        <v>53535</v>
      </c>
      <c r="E415">
        <v>567</v>
      </c>
      <c r="F415">
        <v>742</v>
      </c>
      <c r="G415">
        <v>-175</v>
      </c>
      <c r="H415">
        <v>-0.33</v>
      </c>
      <c r="I415">
        <v>-1.21</v>
      </c>
      <c r="J415">
        <v>2026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12" customWidth="1"/>
  </cols>
  <sheetData>
    <row r="1" spans="1:3" x14ac:dyDescent="0.35">
      <c r="A1" t="s">
        <v>18</v>
      </c>
      <c r="B1" t="s">
        <v>19</v>
      </c>
      <c r="C1" t="s">
        <v>36</v>
      </c>
    </row>
    <row r="2" spans="1:3" x14ac:dyDescent="0.35">
      <c r="A2" t="s">
        <v>2</v>
      </c>
      <c r="B2" t="s">
        <v>31</v>
      </c>
      <c r="C2" t="s">
        <v>37</v>
      </c>
    </row>
    <row r="3" spans="1:3" x14ac:dyDescent="0.35">
      <c r="A3" t="s">
        <v>32</v>
      </c>
      <c r="B3" t="s">
        <v>31</v>
      </c>
      <c r="C3" t="s">
        <v>37</v>
      </c>
    </row>
    <row r="4" spans="1:3" x14ac:dyDescent="0.35">
      <c r="A4" t="s">
        <v>33</v>
      </c>
      <c r="B4" t="s">
        <v>34</v>
      </c>
      <c r="C4" t="s">
        <v>37</v>
      </c>
    </row>
    <row r="5" spans="1:3" x14ac:dyDescent="0.35">
      <c r="A5" t="s">
        <v>27</v>
      </c>
      <c r="B5" t="s">
        <v>28</v>
      </c>
      <c r="C5" t="s">
        <v>38</v>
      </c>
    </row>
    <row r="6" spans="1:3" x14ac:dyDescent="0.35">
      <c r="A6" t="s">
        <v>29</v>
      </c>
      <c r="B6" t="s">
        <v>30</v>
      </c>
      <c r="C6" t="s">
        <v>38</v>
      </c>
    </row>
    <row r="7" spans="1:3" x14ac:dyDescent="0.35">
      <c r="A7" t="s">
        <v>35</v>
      </c>
      <c r="B7" t="s">
        <v>30</v>
      </c>
      <c r="C7" t="s">
        <v>38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4" width="16" customWidth="1"/>
    <col min="5" max="6" width="14" customWidth="1"/>
  </cols>
  <sheetData>
    <row r="1" spans="1:6" x14ac:dyDescent="0.35">
      <c r="A1" t="s">
        <v>17</v>
      </c>
      <c r="B1" t="s">
        <v>18</v>
      </c>
      <c r="C1" t="s">
        <v>39</v>
      </c>
      <c r="D1" t="s">
        <v>40</v>
      </c>
      <c r="E1" s="9" t="s">
        <v>41</v>
      </c>
      <c r="F1" s="9" t="s">
        <v>42</v>
      </c>
    </row>
    <row r="2" spans="1:6" x14ac:dyDescent="0.35">
      <c r="A2" s="8">
        <v>46023</v>
      </c>
      <c r="B2" t="s">
        <v>27</v>
      </c>
      <c r="C2" s="6">
        <v>46990</v>
      </c>
      <c r="D2" s="6">
        <v>52373</v>
      </c>
      <c r="E2" s="6">
        <f t="shared" ref="E2:E33" si="0">C2-D2</f>
        <v>-5383</v>
      </c>
      <c r="F2" s="7">
        <f t="shared" ref="F2:F33" si="1">IFERROR(E2/D2,0)</f>
        <v>-0.10278196780783992</v>
      </c>
    </row>
    <row r="3" spans="1:6" x14ac:dyDescent="0.35">
      <c r="A3" s="8">
        <v>46054</v>
      </c>
      <c r="B3" t="s">
        <v>27</v>
      </c>
      <c r="C3" s="6">
        <v>45746</v>
      </c>
      <c r="D3" s="6">
        <v>52478</v>
      </c>
      <c r="E3" s="6">
        <f t="shared" si="0"/>
        <v>-6732</v>
      </c>
      <c r="F3" s="7">
        <f t="shared" si="1"/>
        <v>-0.12828232783261556</v>
      </c>
    </row>
    <row r="4" spans="1:6" x14ac:dyDescent="0.35">
      <c r="A4" s="8">
        <v>46082</v>
      </c>
      <c r="B4" t="s">
        <v>27</v>
      </c>
      <c r="C4" s="6">
        <v>44810</v>
      </c>
      <c r="D4" s="6">
        <v>52583</v>
      </c>
      <c r="E4" s="6">
        <f t="shared" si="0"/>
        <v>-7773</v>
      </c>
      <c r="F4" s="7">
        <f t="shared" si="1"/>
        <v>-0.14782344103607631</v>
      </c>
    </row>
    <row r="5" spans="1:6" x14ac:dyDescent="0.35">
      <c r="A5" s="8">
        <v>46113</v>
      </c>
      <c r="B5" t="s">
        <v>27</v>
      </c>
      <c r="C5" s="6">
        <v>44337</v>
      </c>
      <c r="D5" s="6">
        <v>52688</v>
      </c>
      <c r="E5" s="6">
        <f t="shared" si="0"/>
        <v>-8351</v>
      </c>
      <c r="F5" s="7">
        <f t="shared" si="1"/>
        <v>-0.15849908897661708</v>
      </c>
    </row>
    <row r="6" spans="1:6" x14ac:dyDescent="0.35">
      <c r="A6" s="8">
        <v>46143</v>
      </c>
      <c r="B6" t="s">
        <v>27</v>
      </c>
      <c r="C6" s="6">
        <v>44104</v>
      </c>
      <c r="D6" s="6">
        <v>52792</v>
      </c>
      <c r="E6" s="6">
        <f t="shared" si="0"/>
        <v>-8688</v>
      </c>
      <c r="F6" s="7">
        <f t="shared" si="1"/>
        <v>-0.16457038945294741</v>
      </c>
    </row>
    <row r="7" spans="1:6" x14ac:dyDescent="0.35">
      <c r="A7" s="8">
        <v>46174</v>
      </c>
      <c r="B7" t="s">
        <v>27</v>
      </c>
      <c r="C7" s="6">
        <v>44119</v>
      </c>
      <c r="D7" s="6">
        <v>52897</v>
      </c>
      <c r="E7" s="6">
        <f t="shared" si="0"/>
        <v>-8778</v>
      </c>
      <c r="F7" s="7">
        <f t="shared" si="1"/>
        <v>-0.16594513866570884</v>
      </c>
    </row>
    <row r="8" spans="1:6" x14ac:dyDescent="0.35">
      <c r="A8" s="8">
        <v>46204</v>
      </c>
      <c r="B8" t="s">
        <v>27</v>
      </c>
      <c r="C8" s="6">
        <v>43791</v>
      </c>
      <c r="D8" s="6">
        <v>53002</v>
      </c>
      <c r="E8" s="6">
        <f t="shared" si="0"/>
        <v>-9211</v>
      </c>
      <c r="F8" s="7">
        <f t="shared" si="1"/>
        <v>-0.17378589487189164</v>
      </c>
    </row>
    <row r="9" spans="1:6" x14ac:dyDescent="0.35">
      <c r="A9" s="8">
        <v>46235</v>
      </c>
      <c r="B9" t="s">
        <v>27</v>
      </c>
      <c r="C9" s="6">
        <v>43504</v>
      </c>
      <c r="D9" s="6">
        <v>53107</v>
      </c>
      <c r="E9" s="6">
        <f t="shared" si="0"/>
        <v>-9603</v>
      </c>
      <c r="F9" s="7">
        <f t="shared" si="1"/>
        <v>-0.18082362023838666</v>
      </c>
    </row>
    <row r="10" spans="1:6" x14ac:dyDescent="0.35">
      <c r="A10" s="8">
        <v>46266</v>
      </c>
      <c r="B10" t="s">
        <v>27</v>
      </c>
      <c r="C10" s="6">
        <v>43291</v>
      </c>
      <c r="D10" s="6">
        <v>53211</v>
      </c>
      <c r="E10" s="6">
        <f t="shared" si="0"/>
        <v>-9920</v>
      </c>
      <c r="F10" s="7">
        <f t="shared" si="1"/>
        <v>-0.18642761834958937</v>
      </c>
    </row>
    <row r="11" spans="1:6" x14ac:dyDescent="0.35">
      <c r="A11" s="8">
        <v>46023</v>
      </c>
      <c r="B11" t="s">
        <v>29</v>
      </c>
      <c r="C11" s="6">
        <v>242603</v>
      </c>
      <c r="D11" s="6">
        <v>244741</v>
      </c>
      <c r="E11" s="6">
        <f t="shared" si="0"/>
        <v>-2138</v>
      </c>
      <c r="F11" s="7">
        <f t="shared" si="1"/>
        <v>-8.7357655644129915E-3</v>
      </c>
    </row>
    <row r="12" spans="1:6" x14ac:dyDescent="0.35">
      <c r="A12" s="8">
        <v>46054</v>
      </c>
      <c r="B12" t="s">
        <v>29</v>
      </c>
      <c r="C12" s="6">
        <v>243627</v>
      </c>
      <c r="D12" s="6">
        <v>245230</v>
      </c>
      <c r="E12" s="6">
        <f t="shared" si="0"/>
        <v>-1603</v>
      </c>
      <c r="F12" s="7">
        <f t="shared" si="1"/>
        <v>-6.5367206296130164E-3</v>
      </c>
    </row>
    <row r="13" spans="1:6" x14ac:dyDescent="0.35">
      <c r="A13" s="8">
        <v>46082</v>
      </c>
      <c r="B13" t="s">
        <v>29</v>
      </c>
      <c r="C13" s="6">
        <v>242475</v>
      </c>
      <c r="D13" s="6">
        <v>245720</v>
      </c>
      <c r="E13" s="6">
        <f t="shared" si="0"/>
        <v>-3245</v>
      </c>
      <c r="F13" s="7">
        <f t="shared" si="1"/>
        <v>-1.3206088230506268E-2</v>
      </c>
    </row>
    <row r="14" spans="1:6" x14ac:dyDescent="0.35">
      <c r="A14" s="8">
        <v>46113</v>
      </c>
      <c r="B14" t="s">
        <v>29</v>
      </c>
      <c r="C14" s="6">
        <v>242372</v>
      </c>
      <c r="D14" s="6">
        <v>246209</v>
      </c>
      <c r="E14" s="6">
        <f t="shared" si="0"/>
        <v>-3837</v>
      </c>
      <c r="F14" s="7">
        <f t="shared" si="1"/>
        <v>-1.5584320638157014E-2</v>
      </c>
    </row>
    <row r="15" spans="1:6" x14ac:dyDescent="0.35">
      <c r="A15" s="8">
        <v>46143</v>
      </c>
      <c r="B15" t="s">
        <v>29</v>
      </c>
      <c r="C15" s="6">
        <v>243264</v>
      </c>
      <c r="D15" s="6">
        <v>246699</v>
      </c>
      <c r="E15" s="6">
        <f t="shared" si="0"/>
        <v>-3435</v>
      </c>
      <c r="F15" s="7">
        <f t="shared" si="1"/>
        <v>-1.3923850522296402E-2</v>
      </c>
    </row>
    <row r="16" spans="1:6" x14ac:dyDescent="0.35">
      <c r="A16" s="8">
        <v>46174</v>
      </c>
      <c r="B16" t="s">
        <v>29</v>
      </c>
      <c r="C16" s="6">
        <v>243805</v>
      </c>
      <c r="D16" s="6">
        <v>247188</v>
      </c>
      <c r="E16" s="6">
        <f t="shared" si="0"/>
        <v>-3383</v>
      </c>
      <c r="F16" s="7">
        <f t="shared" si="1"/>
        <v>-1.3685939446898717E-2</v>
      </c>
    </row>
    <row r="17" spans="1:6" x14ac:dyDescent="0.35">
      <c r="A17" s="8">
        <v>46204</v>
      </c>
      <c r="B17" t="s">
        <v>29</v>
      </c>
      <c r="C17" s="6">
        <v>242503</v>
      </c>
      <c r="D17" s="6">
        <v>247678</v>
      </c>
      <c r="E17" s="6">
        <f t="shared" si="0"/>
        <v>-5175</v>
      </c>
      <c r="F17" s="7">
        <f t="shared" si="1"/>
        <v>-2.0894064067054807E-2</v>
      </c>
    </row>
    <row r="18" spans="1:6" x14ac:dyDescent="0.35">
      <c r="A18" s="8">
        <v>46235</v>
      </c>
      <c r="B18" t="s">
        <v>29</v>
      </c>
      <c r="C18" s="6">
        <v>243769</v>
      </c>
      <c r="D18" s="6">
        <v>248167</v>
      </c>
      <c r="E18" s="6">
        <f t="shared" si="0"/>
        <v>-4398</v>
      </c>
      <c r="F18" s="7">
        <f t="shared" si="1"/>
        <v>-1.7721937243872068E-2</v>
      </c>
    </row>
    <row r="19" spans="1:6" x14ac:dyDescent="0.35">
      <c r="A19" s="8">
        <v>46266</v>
      </c>
      <c r="B19" t="s">
        <v>29</v>
      </c>
      <c r="C19" s="6">
        <v>243580</v>
      </c>
      <c r="D19" s="6">
        <v>248657</v>
      </c>
      <c r="E19" s="6">
        <f t="shared" si="0"/>
        <v>-5077</v>
      </c>
      <c r="F19" s="7">
        <f t="shared" si="1"/>
        <v>-2.0417683797359414E-2</v>
      </c>
    </row>
    <row r="20" spans="1:6" x14ac:dyDescent="0.35">
      <c r="A20" s="8">
        <v>46023</v>
      </c>
      <c r="B20" t="s">
        <v>2</v>
      </c>
      <c r="C20" s="6">
        <v>89385</v>
      </c>
      <c r="D20" s="6">
        <v>90634</v>
      </c>
      <c r="E20" s="6">
        <f t="shared" si="0"/>
        <v>-1249</v>
      </c>
      <c r="F20" s="7">
        <f t="shared" si="1"/>
        <v>-1.378070039940861E-2</v>
      </c>
    </row>
    <row r="21" spans="1:6" x14ac:dyDescent="0.35">
      <c r="A21" s="8">
        <v>46054</v>
      </c>
      <c r="B21" t="s">
        <v>2</v>
      </c>
      <c r="C21" s="6">
        <v>88500</v>
      </c>
      <c r="D21" s="6">
        <v>90815</v>
      </c>
      <c r="E21" s="6">
        <f t="shared" si="0"/>
        <v>-2315</v>
      </c>
      <c r="F21" s="7">
        <f t="shared" si="1"/>
        <v>-2.5491383582007379E-2</v>
      </c>
    </row>
    <row r="22" spans="1:6" x14ac:dyDescent="0.35">
      <c r="A22" s="8">
        <v>46082</v>
      </c>
      <c r="B22" t="s">
        <v>2</v>
      </c>
      <c r="C22" s="6">
        <v>87269</v>
      </c>
      <c r="D22" s="6">
        <v>90996</v>
      </c>
      <c r="E22" s="6">
        <f t="shared" si="0"/>
        <v>-3727</v>
      </c>
      <c r="F22" s="7">
        <f t="shared" si="1"/>
        <v>-4.0957844300848388E-2</v>
      </c>
    </row>
    <row r="23" spans="1:6" x14ac:dyDescent="0.35">
      <c r="A23" s="8">
        <v>46113</v>
      </c>
      <c r="B23" t="s">
        <v>2</v>
      </c>
      <c r="C23" s="6">
        <v>87577</v>
      </c>
      <c r="D23" s="6">
        <v>91178</v>
      </c>
      <c r="E23" s="6">
        <f t="shared" si="0"/>
        <v>-3601</v>
      </c>
      <c r="F23" s="7">
        <f t="shared" si="1"/>
        <v>-3.9494176226721356E-2</v>
      </c>
    </row>
    <row r="24" spans="1:6" x14ac:dyDescent="0.35">
      <c r="A24" s="8">
        <v>46143</v>
      </c>
      <c r="B24" t="s">
        <v>2</v>
      </c>
      <c r="C24" s="6">
        <v>88314</v>
      </c>
      <c r="D24" s="6">
        <v>91359</v>
      </c>
      <c r="E24" s="6">
        <f t="shared" si="0"/>
        <v>-3045</v>
      </c>
      <c r="F24" s="7">
        <f t="shared" si="1"/>
        <v>-3.3330049584605788E-2</v>
      </c>
    </row>
    <row r="25" spans="1:6" x14ac:dyDescent="0.35">
      <c r="A25" s="8">
        <v>46174</v>
      </c>
      <c r="B25" t="s">
        <v>2</v>
      </c>
      <c r="C25" s="6">
        <v>88301</v>
      </c>
      <c r="D25" s="6">
        <v>91540</v>
      </c>
      <c r="E25" s="6">
        <f t="shared" si="0"/>
        <v>-3239</v>
      </c>
      <c r="F25" s="7">
        <f t="shared" si="1"/>
        <v>-3.538343893379943E-2</v>
      </c>
    </row>
    <row r="26" spans="1:6" x14ac:dyDescent="0.35">
      <c r="A26" s="8">
        <v>46204</v>
      </c>
      <c r="B26" t="s">
        <v>2</v>
      </c>
      <c r="C26" s="6">
        <v>88260</v>
      </c>
      <c r="D26" s="6">
        <v>91721</v>
      </c>
      <c r="E26" s="6">
        <f t="shared" si="0"/>
        <v>-3461</v>
      </c>
      <c r="F26" s="7">
        <f t="shared" si="1"/>
        <v>-3.7733997666837472E-2</v>
      </c>
    </row>
    <row r="27" spans="1:6" x14ac:dyDescent="0.35">
      <c r="A27" s="8">
        <v>46235</v>
      </c>
      <c r="B27" t="s">
        <v>2</v>
      </c>
      <c r="C27" s="6">
        <v>88188</v>
      </c>
      <c r="D27" s="6">
        <v>91903</v>
      </c>
      <c r="E27" s="6">
        <f t="shared" si="0"/>
        <v>-3715</v>
      </c>
      <c r="F27" s="7">
        <f t="shared" si="1"/>
        <v>-4.0423054742500242E-2</v>
      </c>
    </row>
    <row r="28" spans="1:6" x14ac:dyDescent="0.35">
      <c r="A28" s="8">
        <v>46266</v>
      </c>
      <c r="B28" t="s">
        <v>2</v>
      </c>
      <c r="C28" s="6">
        <v>88795</v>
      </c>
      <c r="D28" s="6">
        <v>92084</v>
      </c>
      <c r="E28" s="6">
        <f t="shared" si="0"/>
        <v>-3289</v>
      </c>
      <c r="F28" s="7">
        <f t="shared" si="1"/>
        <v>-3.5717388471395682E-2</v>
      </c>
    </row>
    <row r="29" spans="1:6" x14ac:dyDescent="0.35">
      <c r="A29" s="8">
        <v>46023</v>
      </c>
      <c r="B29" t="s">
        <v>32</v>
      </c>
      <c r="C29" s="6">
        <v>67515</v>
      </c>
      <c r="D29" s="6">
        <v>68062</v>
      </c>
      <c r="E29" s="6">
        <f t="shared" si="0"/>
        <v>-547</v>
      </c>
      <c r="F29" s="7">
        <f t="shared" si="1"/>
        <v>-8.0367899856013635E-3</v>
      </c>
    </row>
    <row r="30" spans="1:6" x14ac:dyDescent="0.35">
      <c r="A30" s="8">
        <v>46054</v>
      </c>
      <c r="B30" t="s">
        <v>32</v>
      </c>
      <c r="C30" s="6">
        <v>67011</v>
      </c>
      <c r="D30" s="6">
        <v>68198</v>
      </c>
      <c r="E30" s="6">
        <f t="shared" si="0"/>
        <v>-1187</v>
      </c>
      <c r="F30" s="7">
        <f t="shared" si="1"/>
        <v>-1.7405202498606998E-2</v>
      </c>
    </row>
    <row r="31" spans="1:6" x14ac:dyDescent="0.35">
      <c r="A31" s="8">
        <v>46082</v>
      </c>
      <c r="B31" t="s">
        <v>32</v>
      </c>
      <c r="C31" s="6">
        <v>66499</v>
      </c>
      <c r="D31" s="6">
        <v>68334</v>
      </c>
      <c r="E31" s="6">
        <f t="shared" si="0"/>
        <v>-1835</v>
      </c>
      <c r="F31" s="7">
        <f t="shared" si="1"/>
        <v>-2.6853396552228757E-2</v>
      </c>
    </row>
    <row r="32" spans="1:6" x14ac:dyDescent="0.35">
      <c r="A32" s="8">
        <v>46113</v>
      </c>
      <c r="B32" t="s">
        <v>32</v>
      </c>
      <c r="C32" s="6">
        <v>66510</v>
      </c>
      <c r="D32" s="6">
        <v>68470</v>
      </c>
      <c r="E32" s="6">
        <f t="shared" si="0"/>
        <v>-1960</v>
      </c>
      <c r="F32" s="7">
        <f t="shared" si="1"/>
        <v>-2.8625675478311668E-2</v>
      </c>
    </row>
    <row r="33" spans="1:6" x14ac:dyDescent="0.35">
      <c r="A33" s="8">
        <v>46143</v>
      </c>
      <c r="B33" t="s">
        <v>32</v>
      </c>
      <c r="C33" s="6">
        <v>67069</v>
      </c>
      <c r="D33" s="6">
        <v>68606</v>
      </c>
      <c r="E33" s="6">
        <f t="shared" si="0"/>
        <v>-1537</v>
      </c>
      <c r="F33" s="7">
        <f t="shared" si="1"/>
        <v>-2.2403288342127511E-2</v>
      </c>
    </row>
    <row r="34" spans="1:6" x14ac:dyDescent="0.35">
      <c r="A34" s="8">
        <v>46174</v>
      </c>
      <c r="B34" t="s">
        <v>32</v>
      </c>
      <c r="C34" s="6">
        <v>67476</v>
      </c>
      <c r="D34" s="6">
        <v>68742</v>
      </c>
      <c r="E34" s="6">
        <f t="shared" ref="E34:E65" si="2">C34-D34</f>
        <v>-1266</v>
      </c>
      <c r="F34" s="7">
        <f t="shared" ref="F34:F65" si="3">IFERROR(E34/D34,0)</f>
        <v>-1.8416688487387624E-2</v>
      </c>
    </row>
    <row r="35" spans="1:6" x14ac:dyDescent="0.35">
      <c r="A35" s="8">
        <v>46204</v>
      </c>
      <c r="B35" t="s">
        <v>32</v>
      </c>
      <c r="C35" s="6">
        <v>68204</v>
      </c>
      <c r="D35" s="6">
        <v>68878</v>
      </c>
      <c r="E35" s="6">
        <f t="shared" si="2"/>
        <v>-674</v>
      </c>
      <c r="F35" s="7">
        <f t="shared" si="3"/>
        <v>-9.7854176950550251E-3</v>
      </c>
    </row>
    <row r="36" spans="1:6" x14ac:dyDescent="0.35">
      <c r="A36" s="8">
        <v>46235</v>
      </c>
      <c r="B36" t="s">
        <v>32</v>
      </c>
      <c r="C36" s="6">
        <v>68761</v>
      </c>
      <c r="D36" s="6">
        <v>69014</v>
      </c>
      <c r="E36" s="6">
        <f t="shared" si="2"/>
        <v>-253</v>
      </c>
      <c r="F36" s="7">
        <f t="shared" si="3"/>
        <v>-3.665922856232069E-3</v>
      </c>
    </row>
    <row r="37" spans="1:6" x14ac:dyDescent="0.35">
      <c r="A37" s="8">
        <v>46266</v>
      </c>
      <c r="B37" t="s">
        <v>32</v>
      </c>
      <c r="C37" s="6">
        <v>69091</v>
      </c>
      <c r="D37" s="6">
        <v>69151</v>
      </c>
      <c r="E37" s="6">
        <f t="shared" si="2"/>
        <v>-60</v>
      </c>
      <c r="F37" s="7">
        <f t="shared" si="3"/>
        <v>-8.6766641118711226E-4</v>
      </c>
    </row>
    <row r="38" spans="1:6" x14ac:dyDescent="0.35">
      <c r="A38" s="8">
        <v>46023</v>
      </c>
      <c r="B38" t="s">
        <v>33</v>
      </c>
      <c r="C38" s="6">
        <v>29213</v>
      </c>
      <c r="D38" s="6">
        <v>28872</v>
      </c>
      <c r="E38" s="6">
        <f t="shared" si="2"/>
        <v>341</v>
      </c>
      <c r="F38" s="7">
        <f t="shared" si="3"/>
        <v>1.1810750900526461E-2</v>
      </c>
    </row>
    <row r="39" spans="1:6" x14ac:dyDescent="0.35">
      <c r="A39" s="8">
        <v>46054</v>
      </c>
      <c r="B39" t="s">
        <v>33</v>
      </c>
      <c r="C39" s="6">
        <v>28851</v>
      </c>
      <c r="D39" s="6">
        <v>28929</v>
      </c>
      <c r="E39" s="6">
        <f t="shared" si="2"/>
        <v>-78</v>
      </c>
      <c r="F39" s="7">
        <f t="shared" si="3"/>
        <v>-2.6962563517577516E-3</v>
      </c>
    </row>
    <row r="40" spans="1:6" x14ac:dyDescent="0.35">
      <c r="A40" s="8">
        <v>46082</v>
      </c>
      <c r="B40" t="s">
        <v>33</v>
      </c>
      <c r="C40" s="6">
        <v>28560</v>
      </c>
      <c r="D40" s="6">
        <v>28987</v>
      </c>
      <c r="E40" s="6">
        <f t="shared" si="2"/>
        <v>-427</v>
      </c>
      <c r="F40" s="7">
        <f t="shared" si="3"/>
        <v>-1.4730741366819608E-2</v>
      </c>
    </row>
    <row r="41" spans="1:6" x14ac:dyDescent="0.35">
      <c r="A41" s="8">
        <v>46113</v>
      </c>
      <c r="B41" t="s">
        <v>33</v>
      </c>
      <c r="C41" s="6">
        <v>28547</v>
      </c>
      <c r="D41" s="6">
        <v>29045</v>
      </c>
      <c r="E41" s="6">
        <f t="shared" si="2"/>
        <v>-498</v>
      </c>
      <c r="F41" s="7">
        <f t="shared" si="3"/>
        <v>-1.7145808228610778E-2</v>
      </c>
    </row>
    <row r="42" spans="1:6" x14ac:dyDescent="0.35">
      <c r="A42" s="8">
        <v>46143</v>
      </c>
      <c r="B42" t="s">
        <v>33</v>
      </c>
      <c r="C42" s="6">
        <v>28419</v>
      </c>
      <c r="D42" s="6">
        <v>29103</v>
      </c>
      <c r="E42" s="6">
        <f t="shared" si="2"/>
        <v>-684</v>
      </c>
      <c r="F42" s="7">
        <f t="shared" si="3"/>
        <v>-2.3502731677146685E-2</v>
      </c>
    </row>
    <row r="43" spans="1:6" x14ac:dyDescent="0.35">
      <c r="A43" s="8">
        <v>46174</v>
      </c>
      <c r="B43" t="s">
        <v>33</v>
      </c>
      <c r="C43" s="6">
        <v>28290</v>
      </c>
      <c r="D43" s="6">
        <v>29160</v>
      </c>
      <c r="E43" s="6">
        <f t="shared" si="2"/>
        <v>-870</v>
      </c>
      <c r="F43" s="7">
        <f t="shared" si="3"/>
        <v>-2.9835390946502057E-2</v>
      </c>
    </row>
    <row r="44" spans="1:6" x14ac:dyDescent="0.35">
      <c r="A44" s="8">
        <v>46204</v>
      </c>
      <c r="B44" t="s">
        <v>33</v>
      </c>
      <c r="C44" s="6">
        <v>28428</v>
      </c>
      <c r="D44" s="6">
        <v>29218</v>
      </c>
      <c r="E44" s="6">
        <f t="shared" si="2"/>
        <v>-790</v>
      </c>
      <c r="F44" s="7">
        <f t="shared" si="3"/>
        <v>-2.7038127181874188E-2</v>
      </c>
    </row>
    <row r="45" spans="1:6" x14ac:dyDescent="0.35">
      <c r="A45" s="8">
        <v>46235</v>
      </c>
      <c r="B45" t="s">
        <v>33</v>
      </c>
      <c r="C45" s="6">
        <v>28247</v>
      </c>
      <c r="D45" s="6">
        <v>29276</v>
      </c>
      <c r="E45" s="6">
        <f t="shared" si="2"/>
        <v>-1029</v>
      </c>
      <c r="F45" s="7">
        <f t="shared" si="3"/>
        <v>-3.5148244295668804E-2</v>
      </c>
    </row>
    <row r="46" spans="1:6" x14ac:dyDescent="0.35">
      <c r="A46" s="8">
        <v>46266</v>
      </c>
      <c r="B46" t="s">
        <v>33</v>
      </c>
      <c r="C46" s="6">
        <v>28476</v>
      </c>
      <c r="D46" s="6">
        <v>29334</v>
      </c>
      <c r="E46" s="6">
        <f t="shared" si="2"/>
        <v>-858</v>
      </c>
      <c r="F46" s="7">
        <f t="shared" si="3"/>
        <v>-2.9249335242380856E-2</v>
      </c>
    </row>
    <row r="47" spans="1:6" x14ac:dyDescent="0.35">
      <c r="A47" s="8">
        <v>46023</v>
      </c>
      <c r="B47" t="s">
        <v>35</v>
      </c>
      <c r="C47" s="6">
        <v>54534</v>
      </c>
      <c r="D47" s="6">
        <v>54276</v>
      </c>
      <c r="E47" s="6">
        <f t="shared" si="2"/>
        <v>258</v>
      </c>
      <c r="F47" s="7">
        <f t="shared" si="3"/>
        <v>4.7534822020782663E-3</v>
      </c>
    </row>
    <row r="48" spans="1:6" x14ac:dyDescent="0.35">
      <c r="A48" s="8">
        <v>46054</v>
      </c>
      <c r="B48" t="s">
        <v>35</v>
      </c>
      <c r="C48" s="6">
        <v>54439</v>
      </c>
      <c r="D48" s="6">
        <v>54384</v>
      </c>
      <c r="E48" s="6">
        <f t="shared" si="2"/>
        <v>55</v>
      </c>
      <c r="F48" s="7">
        <f t="shared" si="3"/>
        <v>1.0113268608414239E-3</v>
      </c>
    </row>
    <row r="49" spans="1:6" x14ac:dyDescent="0.35">
      <c r="A49" s="8">
        <v>46082</v>
      </c>
      <c r="B49" t="s">
        <v>35</v>
      </c>
      <c r="C49" s="6">
        <v>54701</v>
      </c>
      <c r="D49" s="6">
        <v>54493</v>
      </c>
      <c r="E49" s="6">
        <f t="shared" si="2"/>
        <v>208</v>
      </c>
      <c r="F49" s="7">
        <f t="shared" si="3"/>
        <v>3.8170040188648083E-3</v>
      </c>
    </row>
    <row r="50" spans="1:6" x14ac:dyDescent="0.35">
      <c r="A50" s="8">
        <v>46113</v>
      </c>
      <c r="B50" t="s">
        <v>35</v>
      </c>
      <c r="C50" s="6">
        <v>54423</v>
      </c>
      <c r="D50" s="6">
        <v>54602</v>
      </c>
      <c r="E50" s="6">
        <f t="shared" si="2"/>
        <v>-179</v>
      </c>
      <c r="F50" s="7">
        <f t="shared" si="3"/>
        <v>-3.2782681953042012E-3</v>
      </c>
    </row>
    <row r="51" spans="1:6" x14ac:dyDescent="0.35">
      <c r="A51" s="8">
        <v>46143</v>
      </c>
      <c r="B51" t="s">
        <v>35</v>
      </c>
      <c r="C51" s="6">
        <v>54603</v>
      </c>
      <c r="D51" s="6">
        <v>54710</v>
      </c>
      <c r="E51" s="6">
        <f t="shared" si="2"/>
        <v>-107</v>
      </c>
      <c r="F51" s="7">
        <f t="shared" si="3"/>
        <v>-1.9557667702431E-3</v>
      </c>
    </row>
    <row r="52" spans="1:6" x14ac:dyDescent="0.35">
      <c r="A52" s="8">
        <v>46174</v>
      </c>
      <c r="B52" t="s">
        <v>35</v>
      </c>
      <c r="C52" s="6">
        <v>54277</v>
      </c>
      <c r="D52" s="6">
        <v>54819</v>
      </c>
      <c r="E52" s="6">
        <f t="shared" si="2"/>
        <v>-542</v>
      </c>
      <c r="F52" s="7">
        <f t="shared" si="3"/>
        <v>-9.8870829456940111E-3</v>
      </c>
    </row>
    <row r="53" spans="1:6" x14ac:dyDescent="0.35">
      <c r="A53" s="8">
        <v>46204</v>
      </c>
      <c r="B53" t="s">
        <v>35</v>
      </c>
      <c r="C53" s="6">
        <v>54013</v>
      </c>
      <c r="D53" s="6">
        <v>54927</v>
      </c>
      <c r="E53" s="6">
        <f t="shared" si="2"/>
        <v>-914</v>
      </c>
      <c r="F53" s="7">
        <f t="shared" si="3"/>
        <v>-1.6640267992062193E-2</v>
      </c>
    </row>
    <row r="54" spans="1:6" x14ac:dyDescent="0.35">
      <c r="A54" s="8">
        <v>46235</v>
      </c>
      <c r="B54" t="s">
        <v>35</v>
      </c>
      <c r="C54" s="6">
        <v>53710</v>
      </c>
      <c r="D54" s="6">
        <v>55036</v>
      </c>
      <c r="E54" s="6">
        <f t="shared" si="2"/>
        <v>-1326</v>
      </c>
      <c r="F54" s="7">
        <f t="shared" si="3"/>
        <v>-2.4093320735518571E-2</v>
      </c>
    </row>
    <row r="55" spans="1:6" x14ac:dyDescent="0.35">
      <c r="A55" s="8">
        <v>46266</v>
      </c>
      <c r="B55" t="s">
        <v>35</v>
      </c>
      <c r="C55" s="6">
        <v>53535</v>
      </c>
      <c r="D55" s="6">
        <v>55144</v>
      </c>
      <c r="E55" s="6">
        <f t="shared" si="2"/>
        <v>-1609</v>
      </c>
      <c r="F55" s="7">
        <f t="shared" si="3"/>
        <v>-2.9178151748150298E-2</v>
      </c>
    </row>
  </sheetData>
  <conditionalFormatting sqref="F2:F55">
    <cfRule type="expression" dxfId="2" priority="1">
      <formula>ABS(F2)&gt;0.02</formula>
    </cfRule>
    <cfRule type="expression" dxfId="1" priority="2">
      <formula>ABS(F2)&lt;=0.02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6" customWidth="1"/>
    <col min="4" max="4" width="18" customWidth="1"/>
    <col min="5" max="6" width="12" customWidth="1"/>
    <col min="7" max="7" width="14" customWidth="1"/>
    <col min="8" max="8" width="12" customWidth="1"/>
  </cols>
  <sheetData>
    <row r="1" spans="1:8" x14ac:dyDescent="0.35">
      <c r="A1" t="s">
        <v>17</v>
      </c>
      <c r="B1" t="s">
        <v>18</v>
      </c>
      <c r="C1" t="s">
        <v>39</v>
      </c>
      <c r="D1" t="s">
        <v>43</v>
      </c>
      <c r="E1" t="s">
        <v>44</v>
      </c>
      <c r="F1" t="s">
        <v>41</v>
      </c>
      <c r="G1" t="s">
        <v>42</v>
      </c>
      <c r="H1" t="s">
        <v>45</v>
      </c>
    </row>
    <row r="2" spans="1:8" x14ac:dyDescent="0.35">
      <c r="A2" s="8">
        <v>46023</v>
      </c>
      <c r="B2" t="s">
        <v>27</v>
      </c>
      <c r="C2">
        <v>46990</v>
      </c>
      <c r="D2">
        <v>51214</v>
      </c>
      <c r="E2" t="s">
        <v>46</v>
      </c>
      <c r="F2">
        <v>-4224</v>
      </c>
      <c r="G2">
        <v>-8.25</v>
      </c>
      <c r="H2" t="s">
        <v>47</v>
      </c>
    </row>
    <row r="3" spans="1:8" x14ac:dyDescent="0.35">
      <c r="A3" s="8">
        <v>46054</v>
      </c>
      <c r="B3" t="s">
        <v>27</v>
      </c>
      <c r="C3">
        <v>45746</v>
      </c>
      <c r="D3">
        <v>50493</v>
      </c>
      <c r="E3" t="s">
        <v>46</v>
      </c>
      <c r="F3">
        <v>-4747</v>
      </c>
      <c r="G3">
        <v>-9.4</v>
      </c>
      <c r="H3" t="s">
        <v>47</v>
      </c>
    </row>
    <row r="4" spans="1:8" x14ac:dyDescent="0.35">
      <c r="A4" s="8">
        <v>46082</v>
      </c>
      <c r="B4" t="s">
        <v>27</v>
      </c>
      <c r="C4">
        <v>44810</v>
      </c>
      <c r="D4">
        <v>49678</v>
      </c>
      <c r="E4" t="s">
        <v>46</v>
      </c>
      <c r="F4">
        <v>-4868</v>
      </c>
      <c r="G4">
        <v>-9.8000000000000007</v>
      </c>
      <c r="H4" t="s">
        <v>47</v>
      </c>
    </row>
    <row r="5" spans="1:8" x14ac:dyDescent="0.35">
      <c r="A5" s="8">
        <v>46113</v>
      </c>
      <c r="B5" t="s">
        <v>27</v>
      </c>
      <c r="C5">
        <v>44337</v>
      </c>
      <c r="D5">
        <v>49790</v>
      </c>
      <c r="E5" t="s">
        <v>46</v>
      </c>
      <c r="F5">
        <v>-5453</v>
      </c>
      <c r="G5">
        <v>-10.95</v>
      </c>
      <c r="H5" t="s">
        <v>47</v>
      </c>
    </row>
    <row r="6" spans="1:8" x14ac:dyDescent="0.35">
      <c r="A6" s="8">
        <v>46143</v>
      </c>
      <c r="B6" t="s">
        <v>27</v>
      </c>
      <c r="C6">
        <v>44104</v>
      </c>
      <c r="D6">
        <v>49864</v>
      </c>
      <c r="E6" t="s">
        <v>46</v>
      </c>
      <c r="F6">
        <v>-5760</v>
      </c>
      <c r="G6">
        <v>-11.55</v>
      </c>
      <c r="H6" t="s">
        <v>47</v>
      </c>
    </row>
    <row r="7" spans="1:8" x14ac:dyDescent="0.35">
      <c r="A7" s="8">
        <v>46174</v>
      </c>
      <c r="B7" t="s">
        <v>27</v>
      </c>
      <c r="C7">
        <v>44119</v>
      </c>
      <c r="D7">
        <v>50052</v>
      </c>
      <c r="E7" t="s">
        <v>46</v>
      </c>
      <c r="F7">
        <v>-5933</v>
      </c>
      <c r="G7">
        <v>-11.85</v>
      </c>
      <c r="H7" t="s">
        <v>47</v>
      </c>
    </row>
    <row r="8" spans="1:8" x14ac:dyDescent="0.35">
      <c r="A8" s="8">
        <v>46204</v>
      </c>
      <c r="B8" t="s">
        <v>27</v>
      </c>
      <c r="C8">
        <v>43791</v>
      </c>
      <c r="D8">
        <v>50129</v>
      </c>
      <c r="E8" t="s">
        <v>46</v>
      </c>
      <c r="F8">
        <v>-6338</v>
      </c>
      <c r="G8">
        <v>-12.64</v>
      </c>
      <c r="H8" t="s">
        <v>47</v>
      </c>
    </row>
    <row r="9" spans="1:8" x14ac:dyDescent="0.35">
      <c r="A9" s="8">
        <v>46235</v>
      </c>
      <c r="B9" t="s">
        <v>27</v>
      </c>
      <c r="C9">
        <v>43504</v>
      </c>
      <c r="D9">
        <v>50154</v>
      </c>
      <c r="E9" t="s">
        <v>46</v>
      </c>
      <c r="F9">
        <v>-6650</v>
      </c>
      <c r="G9">
        <v>-13.26</v>
      </c>
      <c r="H9" t="s">
        <v>47</v>
      </c>
    </row>
    <row r="10" spans="1:8" x14ac:dyDescent="0.35">
      <c r="A10" s="8">
        <v>46266</v>
      </c>
      <c r="B10" t="s">
        <v>27</v>
      </c>
      <c r="C10">
        <v>43291</v>
      </c>
      <c r="D10">
        <v>50213</v>
      </c>
      <c r="E10" t="s">
        <v>46</v>
      </c>
      <c r="F10">
        <v>-6922</v>
      </c>
      <c r="G10">
        <v>-13.79</v>
      </c>
      <c r="H10" t="s">
        <v>47</v>
      </c>
    </row>
    <row r="11" spans="1:8" x14ac:dyDescent="0.35">
      <c r="A11" s="8">
        <v>46296</v>
      </c>
      <c r="B11" t="s">
        <v>27</v>
      </c>
      <c r="D11">
        <v>43456</v>
      </c>
      <c r="E11" t="s">
        <v>48</v>
      </c>
    </row>
    <row r="12" spans="1:8" x14ac:dyDescent="0.35">
      <c r="A12" s="8">
        <v>46327</v>
      </c>
      <c r="B12" t="s">
        <v>27</v>
      </c>
      <c r="D12">
        <v>43476</v>
      </c>
      <c r="E12" t="s">
        <v>48</v>
      </c>
    </row>
    <row r="13" spans="1:8" x14ac:dyDescent="0.35">
      <c r="A13" s="8">
        <v>46357</v>
      </c>
      <c r="B13" t="s">
        <v>27</v>
      </c>
      <c r="D13">
        <v>43563</v>
      </c>
      <c r="E13" t="s">
        <v>48</v>
      </c>
    </row>
    <row r="14" spans="1:8" x14ac:dyDescent="0.35">
      <c r="A14" s="8">
        <v>46388</v>
      </c>
      <c r="B14" t="s">
        <v>27</v>
      </c>
      <c r="D14">
        <v>46103</v>
      </c>
      <c r="E14" t="s">
        <v>48</v>
      </c>
    </row>
    <row r="15" spans="1:8" x14ac:dyDescent="0.35">
      <c r="A15" s="8">
        <v>46419</v>
      </c>
      <c r="B15" t="s">
        <v>27</v>
      </c>
      <c r="D15">
        <v>45294</v>
      </c>
      <c r="E15" t="s">
        <v>48</v>
      </c>
    </row>
    <row r="16" spans="1:8" x14ac:dyDescent="0.35">
      <c r="A16" s="8">
        <v>46447</v>
      </c>
      <c r="B16" t="s">
        <v>27</v>
      </c>
      <c r="D16">
        <v>44454</v>
      </c>
      <c r="E16" t="s">
        <v>48</v>
      </c>
    </row>
    <row r="17" spans="1:8" x14ac:dyDescent="0.35">
      <c r="A17" s="8">
        <v>46478</v>
      </c>
      <c r="B17" t="s">
        <v>27</v>
      </c>
      <c r="D17">
        <v>44472</v>
      </c>
      <c r="E17" t="s">
        <v>48</v>
      </c>
    </row>
    <row r="18" spans="1:8" x14ac:dyDescent="0.35">
      <c r="A18" s="8">
        <v>46508</v>
      </c>
      <c r="B18" t="s">
        <v>27</v>
      </c>
      <c r="D18">
        <v>44486</v>
      </c>
      <c r="E18" t="s">
        <v>48</v>
      </c>
    </row>
    <row r="19" spans="1:8" x14ac:dyDescent="0.35">
      <c r="A19" s="8">
        <v>46539</v>
      </c>
      <c r="B19" t="s">
        <v>27</v>
      </c>
      <c r="D19">
        <v>44655</v>
      </c>
      <c r="E19" t="s">
        <v>48</v>
      </c>
    </row>
    <row r="20" spans="1:8" x14ac:dyDescent="0.35">
      <c r="A20" s="8">
        <v>46569</v>
      </c>
      <c r="B20" t="s">
        <v>27</v>
      </c>
      <c r="D20">
        <v>44673</v>
      </c>
      <c r="E20" t="s">
        <v>48</v>
      </c>
    </row>
    <row r="21" spans="1:8" x14ac:dyDescent="0.35">
      <c r="A21" s="8">
        <v>46600</v>
      </c>
      <c r="B21" t="s">
        <v>27</v>
      </c>
      <c r="D21">
        <v>44647</v>
      </c>
      <c r="E21" t="s">
        <v>48</v>
      </c>
    </row>
    <row r="22" spans="1:8" x14ac:dyDescent="0.35">
      <c r="A22" s="8">
        <v>46631</v>
      </c>
      <c r="B22" t="s">
        <v>27</v>
      </c>
      <c r="D22">
        <v>44670</v>
      </c>
      <c r="E22" t="s">
        <v>48</v>
      </c>
    </row>
    <row r="23" spans="1:8" x14ac:dyDescent="0.35">
      <c r="A23" s="8">
        <v>46661</v>
      </c>
      <c r="B23" t="s">
        <v>27</v>
      </c>
      <c r="D23">
        <v>44835</v>
      </c>
      <c r="E23" t="s">
        <v>48</v>
      </c>
    </row>
    <row r="24" spans="1:8" x14ac:dyDescent="0.35">
      <c r="A24" s="8">
        <v>46692</v>
      </c>
      <c r="B24" t="s">
        <v>27</v>
      </c>
      <c r="D24">
        <v>44855</v>
      </c>
      <c r="E24" t="s">
        <v>48</v>
      </c>
    </row>
    <row r="25" spans="1:8" x14ac:dyDescent="0.35">
      <c r="A25" s="8">
        <v>46722</v>
      </c>
      <c r="B25" t="s">
        <v>27</v>
      </c>
      <c r="D25">
        <v>44942</v>
      </c>
      <c r="E25" t="s">
        <v>48</v>
      </c>
    </row>
    <row r="26" spans="1:8" x14ac:dyDescent="0.35">
      <c r="A26" s="8">
        <v>46023</v>
      </c>
      <c r="B26" t="s">
        <v>29</v>
      </c>
      <c r="C26">
        <v>242603</v>
      </c>
      <c r="D26">
        <v>242994</v>
      </c>
      <c r="E26" t="s">
        <v>46</v>
      </c>
      <c r="F26">
        <v>-391</v>
      </c>
      <c r="G26">
        <v>-0.16</v>
      </c>
      <c r="H26" t="s">
        <v>49</v>
      </c>
    </row>
    <row r="27" spans="1:8" x14ac:dyDescent="0.35">
      <c r="A27" s="8">
        <v>46054</v>
      </c>
      <c r="B27" t="s">
        <v>29</v>
      </c>
      <c r="C27">
        <v>243627</v>
      </c>
      <c r="D27">
        <v>242656</v>
      </c>
      <c r="E27" t="s">
        <v>46</v>
      </c>
      <c r="F27">
        <v>971</v>
      </c>
      <c r="G27">
        <v>0.4</v>
      </c>
      <c r="H27" t="s">
        <v>49</v>
      </c>
    </row>
    <row r="28" spans="1:8" x14ac:dyDescent="0.35">
      <c r="A28" s="8">
        <v>46082</v>
      </c>
      <c r="B28" t="s">
        <v>29</v>
      </c>
      <c r="C28">
        <v>242475</v>
      </c>
      <c r="D28">
        <v>243160</v>
      </c>
      <c r="E28" t="s">
        <v>46</v>
      </c>
      <c r="F28">
        <v>-685</v>
      </c>
      <c r="G28">
        <v>-0.28000000000000003</v>
      </c>
      <c r="H28" t="s">
        <v>49</v>
      </c>
    </row>
    <row r="29" spans="1:8" x14ac:dyDescent="0.35">
      <c r="A29" s="8">
        <v>46113</v>
      </c>
      <c r="B29" t="s">
        <v>29</v>
      </c>
      <c r="C29">
        <v>242372</v>
      </c>
      <c r="D29">
        <v>243081</v>
      </c>
      <c r="E29" t="s">
        <v>46</v>
      </c>
      <c r="F29">
        <v>-709</v>
      </c>
      <c r="G29">
        <v>-0.28999999999999998</v>
      </c>
      <c r="H29" t="s">
        <v>49</v>
      </c>
    </row>
    <row r="30" spans="1:8" x14ac:dyDescent="0.35">
      <c r="A30" s="8">
        <v>46143</v>
      </c>
      <c r="B30" t="s">
        <v>29</v>
      </c>
      <c r="C30">
        <v>243264</v>
      </c>
      <c r="D30">
        <v>243922</v>
      </c>
      <c r="E30" t="s">
        <v>46</v>
      </c>
      <c r="F30">
        <v>-658</v>
      </c>
      <c r="G30">
        <v>-0.27</v>
      </c>
      <c r="H30" t="s">
        <v>49</v>
      </c>
    </row>
    <row r="31" spans="1:8" x14ac:dyDescent="0.35">
      <c r="A31" s="8">
        <v>46174</v>
      </c>
      <c r="B31" t="s">
        <v>29</v>
      </c>
      <c r="C31">
        <v>243805</v>
      </c>
      <c r="D31">
        <v>243513</v>
      </c>
      <c r="E31" t="s">
        <v>46</v>
      </c>
      <c r="F31">
        <v>292</v>
      </c>
      <c r="G31">
        <v>0.12</v>
      </c>
      <c r="H31" t="s">
        <v>49</v>
      </c>
    </row>
    <row r="32" spans="1:8" x14ac:dyDescent="0.35">
      <c r="A32" s="8">
        <v>46204</v>
      </c>
      <c r="B32" t="s">
        <v>29</v>
      </c>
      <c r="C32">
        <v>242503</v>
      </c>
      <c r="D32">
        <v>244128</v>
      </c>
      <c r="E32" t="s">
        <v>46</v>
      </c>
      <c r="F32">
        <v>-1625</v>
      </c>
      <c r="G32">
        <v>-0.67</v>
      </c>
      <c r="H32" t="s">
        <v>49</v>
      </c>
    </row>
    <row r="33" spans="1:8" x14ac:dyDescent="0.35">
      <c r="A33" s="8">
        <v>46235</v>
      </c>
      <c r="B33" t="s">
        <v>29</v>
      </c>
      <c r="C33">
        <v>243769</v>
      </c>
      <c r="D33">
        <v>244587</v>
      </c>
      <c r="E33" t="s">
        <v>46</v>
      </c>
      <c r="F33">
        <v>-818</v>
      </c>
      <c r="G33">
        <v>-0.33</v>
      </c>
      <c r="H33" t="s">
        <v>49</v>
      </c>
    </row>
    <row r="34" spans="1:8" x14ac:dyDescent="0.35">
      <c r="A34" s="8">
        <v>46266</v>
      </c>
      <c r="B34" t="s">
        <v>29</v>
      </c>
      <c r="C34">
        <v>243580</v>
      </c>
      <c r="D34">
        <v>244496</v>
      </c>
      <c r="E34" t="s">
        <v>46</v>
      </c>
      <c r="F34">
        <v>-916</v>
      </c>
      <c r="G34">
        <v>-0.37</v>
      </c>
      <c r="H34" t="s">
        <v>49</v>
      </c>
    </row>
    <row r="35" spans="1:8" x14ac:dyDescent="0.35">
      <c r="A35" s="8">
        <v>46296</v>
      </c>
      <c r="B35" t="s">
        <v>29</v>
      </c>
      <c r="D35">
        <v>243323</v>
      </c>
      <c r="E35" t="s">
        <v>48</v>
      </c>
    </row>
    <row r="36" spans="1:8" x14ac:dyDescent="0.35">
      <c r="A36" s="8">
        <v>46327</v>
      </c>
      <c r="B36" t="s">
        <v>29</v>
      </c>
      <c r="D36">
        <v>242992</v>
      </c>
      <c r="E36" t="s">
        <v>48</v>
      </c>
    </row>
    <row r="37" spans="1:8" x14ac:dyDescent="0.35">
      <c r="A37" s="8">
        <v>46357</v>
      </c>
      <c r="B37" t="s">
        <v>29</v>
      </c>
      <c r="D37">
        <v>243115</v>
      </c>
      <c r="E37" t="s">
        <v>48</v>
      </c>
    </row>
    <row r="38" spans="1:8" x14ac:dyDescent="0.35">
      <c r="A38" s="8">
        <v>46388</v>
      </c>
      <c r="B38" t="s">
        <v>29</v>
      </c>
      <c r="D38">
        <v>247518</v>
      </c>
      <c r="E38" t="s">
        <v>48</v>
      </c>
    </row>
    <row r="39" spans="1:8" x14ac:dyDescent="0.35">
      <c r="A39" s="8">
        <v>46419</v>
      </c>
      <c r="B39" t="s">
        <v>29</v>
      </c>
      <c r="D39">
        <v>247389</v>
      </c>
      <c r="E39" t="s">
        <v>48</v>
      </c>
    </row>
    <row r="40" spans="1:8" x14ac:dyDescent="0.35">
      <c r="A40" s="8">
        <v>46447</v>
      </c>
      <c r="B40" t="s">
        <v>29</v>
      </c>
      <c r="D40">
        <v>247376</v>
      </c>
      <c r="E40" t="s">
        <v>48</v>
      </c>
    </row>
    <row r="41" spans="1:8" x14ac:dyDescent="0.35">
      <c r="A41" s="8">
        <v>46478</v>
      </c>
      <c r="B41" t="s">
        <v>29</v>
      </c>
      <c r="D41">
        <v>247175</v>
      </c>
      <c r="E41" t="s">
        <v>48</v>
      </c>
    </row>
    <row r="42" spans="1:8" x14ac:dyDescent="0.35">
      <c r="A42" s="8">
        <v>46508</v>
      </c>
      <c r="B42" t="s">
        <v>29</v>
      </c>
      <c r="D42">
        <v>247931</v>
      </c>
      <c r="E42" t="s">
        <v>48</v>
      </c>
    </row>
    <row r="43" spans="1:8" x14ac:dyDescent="0.35">
      <c r="A43" s="8">
        <v>46539</v>
      </c>
      <c r="B43" t="s">
        <v>29</v>
      </c>
      <c r="D43">
        <v>247599</v>
      </c>
      <c r="E43" t="s">
        <v>48</v>
      </c>
    </row>
    <row r="44" spans="1:8" x14ac:dyDescent="0.35">
      <c r="A44" s="8">
        <v>46569</v>
      </c>
      <c r="B44" t="s">
        <v>29</v>
      </c>
      <c r="D44">
        <v>247993</v>
      </c>
      <c r="E44" t="s">
        <v>48</v>
      </c>
    </row>
    <row r="45" spans="1:8" x14ac:dyDescent="0.35">
      <c r="A45" s="8">
        <v>46600</v>
      </c>
      <c r="B45" t="s">
        <v>29</v>
      </c>
      <c r="D45">
        <v>248582</v>
      </c>
      <c r="E45" t="s">
        <v>48</v>
      </c>
    </row>
    <row r="46" spans="1:8" x14ac:dyDescent="0.35">
      <c r="A46" s="8">
        <v>46631</v>
      </c>
      <c r="B46" t="s">
        <v>29</v>
      </c>
      <c r="D46">
        <v>248458</v>
      </c>
      <c r="E46" t="s">
        <v>48</v>
      </c>
    </row>
    <row r="47" spans="1:8" x14ac:dyDescent="0.35">
      <c r="A47" s="8">
        <v>46661</v>
      </c>
      <c r="B47" t="s">
        <v>29</v>
      </c>
      <c r="D47">
        <v>248204</v>
      </c>
      <c r="E47" t="s">
        <v>48</v>
      </c>
    </row>
    <row r="48" spans="1:8" x14ac:dyDescent="0.35">
      <c r="A48" s="8">
        <v>46692</v>
      </c>
      <c r="B48" t="s">
        <v>29</v>
      </c>
      <c r="D48">
        <v>247872</v>
      </c>
      <c r="E48" t="s">
        <v>48</v>
      </c>
    </row>
    <row r="49" spans="1:8" x14ac:dyDescent="0.35">
      <c r="A49" s="8">
        <v>46722</v>
      </c>
      <c r="B49" t="s">
        <v>29</v>
      </c>
      <c r="D49">
        <v>247995</v>
      </c>
      <c r="E49" t="s">
        <v>48</v>
      </c>
    </row>
    <row r="50" spans="1:8" x14ac:dyDescent="0.35">
      <c r="A50" s="8">
        <v>46023</v>
      </c>
      <c r="B50" t="s">
        <v>2</v>
      </c>
      <c r="C50">
        <v>89385</v>
      </c>
      <c r="D50">
        <v>88789</v>
      </c>
      <c r="E50" t="s">
        <v>46</v>
      </c>
      <c r="F50">
        <v>596</v>
      </c>
      <c r="G50">
        <v>0.67</v>
      </c>
      <c r="H50" t="s">
        <v>49</v>
      </c>
    </row>
    <row r="51" spans="1:8" x14ac:dyDescent="0.35">
      <c r="A51" s="8">
        <v>46054</v>
      </c>
      <c r="B51" t="s">
        <v>2</v>
      </c>
      <c r="C51">
        <v>88500</v>
      </c>
      <c r="D51">
        <v>88036</v>
      </c>
      <c r="E51" t="s">
        <v>46</v>
      </c>
      <c r="F51">
        <v>464</v>
      </c>
      <c r="G51">
        <v>0.53</v>
      </c>
      <c r="H51" t="s">
        <v>49</v>
      </c>
    </row>
    <row r="52" spans="1:8" x14ac:dyDescent="0.35">
      <c r="A52" s="8">
        <v>46082</v>
      </c>
      <c r="B52" t="s">
        <v>2</v>
      </c>
      <c r="C52">
        <v>87269</v>
      </c>
      <c r="D52">
        <v>87357</v>
      </c>
      <c r="E52" t="s">
        <v>46</v>
      </c>
      <c r="F52">
        <v>-88</v>
      </c>
      <c r="G52">
        <v>-0.1</v>
      </c>
      <c r="H52" t="s">
        <v>49</v>
      </c>
    </row>
    <row r="53" spans="1:8" x14ac:dyDescent="0.35">
      <c r="A53" s="8">
        <v>46113</v>
      </c>
      <c r="B53" t="s">
        <v>2</v>
      </c>
      <c r="C53">
        <v>87577</v>
      </c>
      <c r="D53">
        <v>87475</v>
      </c>
      <c r="E53" t="s">
        <v>46</v>
      </c>
      <c r="F53">
        <v>102</v>
      </c>
      <c r="G53">
        <v>0.12</v>
      </c>
      <c r="H53" t="s">
        <v>49</v>
      </c>
    </row>
    <row r="54" spans="1:8" x14ac:dyDescent="0.35">
      <c r="A54" s="8">
        <v>46143</v>
      </c>
      <c r="B54" t="s">
        <v>2</v>
      </c>
      <c r="C54">
        <v>88314</v>
      </c>
      <c r="D54">
        <v>87784</v>
      </c>
      <c r="E54" t="s">
        <v>46</v>
      </c>
      <c r="F54">
        <v>530</v>
      </c>
      <c r="G54">
        <v>0.6</v>
      </c>
      <c r="H54" t="s">
        <v>49</v>
      </c>
    </row>
    <row r="55" spans="1:8" x14ac:dyDescent="0.35">
      <c r="A55" s="8">
        <v>46174</v>
      </c>
      <c r="B55" t="s">
        <v>2</v>
      </c>
      <c r="C55">
        <v>88301</v>
      </c>
      <c r="D55">
        <v>88092</v>
      </c>
      <c r="E55" t="s">
        <v>46</v>
      </c>
      <c r="F55">
        <v>209</v>
      </c>
      <c r="G55">
        <v>0.24</v>
      </c>
      <c r="H55" t="s">
        <v>49</v>
      </c>
    </row>
    <row r="56" spans="1:8" x14ac:dyDescent="0.35">
      <c r="A56" s="8">
        <v>46204</v>
      </c>
      <c r="B56" t="s">
        <v>2</v>
      </c>
      <c r="C56">
        <v>88260</v>
      </c>
      <c r="D56">
        <v>88277</v>
      </c>
      <c r="E56" t="s">
        <v>46</v>
      </c>
      <c r="F56">
        <v>-17</v>
      </c>
      <c r="G56">
        <v>-0.02</v>
      </c>
      <c r="H56" t="s">
        <v>49</v>
      </c>
    </row>
    <row r="57" spans="1:8" x14ac:dyDescent="0.35">
      <c r="A57" s="8">
        <v>46235</v>
      </c>
      <c r="B57" t="s">
        <v>2</v>
      </c>
      <c r="C57">
        <v>88188</v>
      </c>
      <c r="D57">
        <v>88420</v>
      </c>
      <c r="E57" t="s">
        <v>46</v>
      </c>
      <c r="F57">
        <v>-232</v>
      </c>
      <c r="G57">
        <v>-0.26</v>
      </c>
      <c r="H57" t="s">
        <v>49</v>
      </c>
    </row>
    <row r="58" spans="1:8" x14ac:dyDescent="0.35">
      <c r="A58" s="8">
        <v>46266</v>
      </c>
      <c r="B58" t="s">
        <v>2</v>
      </c>
      <c r="C58">
        <v>88795</v>
      </c>
      <c r="D58">
        <v>88583</v>
      </c>
      <c r="E58" t="s">
        <v>46</v>
      </c>
      <c r="F58">
        <v>212</v>
      </c>
      <c r="G58">
        <v>0.24</v>
      </c>
      <c r="H58" t="s">
        <v>49</v>
      </c>
    </row>
    <row r="59" spans="1:8" x14ac:dyDescent="0.35">
      <c r="A59" s="8">
        <v>46296</v>
      </c>
      <c r="B59" t="s">
        <v>2</v>
      </c>
      <c r="D59">
        <v>88953</v>
      </c>
      <c r="E59" t="s">
        <v>48</v>
      </c>
    </row>
    <row r="60" spans="1:8" x14ac:dyDescent="0.35">
      <c r="A60" s="8">
        <v>46327</v>
      </c>
      <c r="B60" t="s">
        <v>2</v>
      </c>
      <c r="D60">
        <v>89066</v>
      </c>
      <c r="E60" t="s">
        <v>48</v>
      </c>
    </row>
    <row r="61" spans="1:8" x14ac:dyDescent="0.35">
      <c r="A61" s="8">
        <v>46357</v>
      </c>
      <c r="B61" t="s">
        <v>2</v>
      </c>
      <c r="D61">
        <v>89246</v>
      </c>
      <c r="E61" t="s">
        <v>48</v>
      </c>
    </row>
    <row r="62" spans="1:8" x14ac:dyDescent="0.35">
      <c r="A62" s="8">
        <v>46388</v>
      </c>
      <c r="B62" t="s">
        <v>2</v>
      </c>
      <c r="D62">
        <v>93606</v>
      </c>
      <c r="E62" t="s">
        <v>48</v>
      </c>
    </row>
    <row r="63" spans="1:8" x14ac:dyDescent="0.35">
      <c r="A63" s="8">
        <v>46419</v>
      </c>
      <c r="B63" t="s">
        <v>2</v>
      </c>
      <c r="D63">
        <v>92841</v>
      </c>
      <c r="E63" t="s">
        <v>48</v>
      </c>
    </row>
    <row r="64" spans="1:8" x14ac:dyDescent="0.35">
      <c r="A64" s="8">
        <v>46447</v>
      </c>
      <c r="B64" t="s">
        <v>2</v>
      </c>
      <c r="D64">
        <v>92054</v>
      </c>
      <c r="E64" t="s">
        <v>48</v>
      </c>
    </row>
    <row r="65" spans="1:8" x14ac:dyDescent="0.35">
      <c r="A65" s="8">
        <v>46478</v>
      </c>
      <c r="B65" t="s">
        <v>2</v>
      </c>
      <c r="D65">
        <v>92221</v>
      </c>
      <c r="E65" t="s">
        <v>48</v>
      </c>
    </row>
    <row r="66" spans="1:8" x14ac:dyDescent="0.35">
      <c r="A66" s="8">
        <v>46508</v>
      </c>
      <c r="B66" t="s">
        <v>2</v>
      </c>
      <c r="D66">
        <v>92598</v>
      </c>
      <c r="E66" t="s">
        <v>48</v>
      </c>
    </row>
    <row r="67" spans="1:8" x14ac:dyDescent="0.35">
      <c r="A67" s="8">
        <v>46539</v>
      </c>
      <c r="B67" t="s">
        <v>2</v>
      </c>
      <c r="D67">
        <v>92881</v>
      </c>
      <c r="E67" t="s">
        <v>48</v>
      </c>
    </row>
    <row r="68" spans="1:8" x14ac:dyDescent="0.35">
      <c r="A68" s="8">
        <v>46569</v>
      </c>
      <c r="B68" t="s">
        <v>2</v>
      </c>
      <c r="D68">
        <v>93045</v>
      </c>
      <c r="E68" t="s">
        <v>48</v>
      </c>
    </row>
    <row r="69" spans="1:8" x14ac:dyDescent="0.35">
      <c r="A69" s="8">
        <v>46600</v>
      </c>
      <c r="B69" t="s">
        <v>2</v>
      </c>
      <c r="D69">
        <v>93144</v>
      </c>
      <c r="E69" t="s">
        <v>48</v>
      </c>
    </row>
    <row r="70" spans="1:8" x14ac:dyDescent="0.35">
      <c r="A70" s="8">
        <v>46631</v>
      </c>
      <c r="B70" t="s">
        <v>2</v>
      </c>
      <c r="D70">
        <v>93376</v>
      </c>
      <c r="E70" t="s">
        <v>48</v>
      </c>
    </row>
    <row r="71" spans="1:8" x14ac:dyDescent="0.35">
      <c r="A71" s="8">
        <v>46661</v>
      </c>
      <c r="B71" t="s">
        <v>2</v>
      </c>
      <c r="D71">
        <v>93642</v>
      </c>
      <c r="E71" t="s">
        <v>48</v>
      </c>
    </row>
    <row r="72" spans="1:8" x14ac:dyDescent="0.35">
      <c r="A72" s="8">
        <v>46692</v>
      </c>
      <c r="B72" t="s">
        <v>2</v>
      </c>
      <c r="D72">
        <v>93756</v>
      </c>
      <c r="E72" t="s">
        <v>48</v>
      </c>
    </row>
    <row r="73" spans="1:8" x14ac:dyDescent="0.35">
      <c r="A73" s="8">
        <v>46722</v>
      </c>
      <c r="B73" t="s">
        <v>2</v>
      </c>
      <c r="D73">
        <v>93936</v>
      </c>
      <c r="E73" t="s">
        <v>48</v>
      </c>
    </row>
    <row r="74" spans="1:8" x14ac:dyDescent="0.35">
      <c r="A74" s="8">
        <v>46023</v>
      </c>
      <c r="B74" t="s">
        <v>32</v>
      </c>
      <c r="C74">
        <v>67515</v>
      </c>
      <c r="D74">
        <v>65866</v>
      </c>
      <c r="E74" t="s">
        <v>46</v>
      </c>
      <c r="F74">
        <v>1649</v>
      </c>
      <c r="G74">
        <v>2.5</v>
      </c>
      <c r="H74" t="s">
        <v>47</v>
      </c>
    </row>
    <row r="75" spans="1:8" x14ac:dyDescent="0.35">
      <c r="A75" s="8">
        <v>46054</v>
      </c>
      <c r="B75" t="s">
        <v>32</v>
      </c>
      <c r="C75">
        <v>67011</v>
      </c>
      <c r="D75">
        <v>65196</v>
      </c>
      <c r="E75" t="s">
        <v>46</v>
      </c>
      <c r="F75">
        <v>1815</v>
      </c>
      <c r="G75">
        <v>2.78</v>
      </c>
      <c r="H75" t="s">
        <v>47</v>
      </c>
    </row>
    <row r="76" spans="1:8" x14ac:dyDescent="0.35">
      <c r="A76" s="8">
        <v>46082</v>
      </c>
      <c r="B76" t="s">
        <v>32</v>
      </c>
      <c r="C76">
        <v>66499</v>
      </c>
      <c r="D76">
        <v>64878</v>
      </c>
      <c r="E76" t="s">
        <v>46</v>
      </c>
      <c r="F76">
        <v>1621</v>
      </c>
      <c r="G76">
        <v>2.5</v>
      </c>
      <c r="H76" t="s">
        <v>47</v>
      </c>
    </row>
    <row r="77" spans="1:8" x14ac:dyDescent="0.35">
      <c r="A77" s="8">
        <v>46113</v>
      </c>
      <c r="B77" t="s">
        <v>32</v>
      </c>
      <c r="C77">
        <v>66510</v>
      </c>
      <c r="D77">
        <v>65067</v>
      </c>
      <c r="E77" t="s">
        <v>46</v>
      </c>
      <c r="F77">
        <v>1443</v>
      </c>
      <c r="G77">
        <v>2.2200000000000002</v>
      </c>
      <c r="H77" t="s">
        <v>47</v>
      </c>
    </row>
    <row r="78" spans="1:8" x14ac:dyDescent="0.35">
      <c r="A78" s="8">
        <v>46143</v>
      </c>
      <c r="B78" t="s">
        <v>32</v>
      </c>
      <c r="C78">
        <v>67069</v>
      </c>
      <c r="D78">
        <v>65257</v>
      </c>
      <c r="E78" t="s">
        <v>46</v>
      </c>
      <c r="F78">
        <v>1812</v>
      </c>
      <c r="G78">
        <v>2.78</v>
      </c>
      <c r="H78" t="s">
        <v>47</v>
      </c>
    </row>
    <row r="79" spans="1:8" x14ac:dyDescent="0.35">
      <c r="A79" s="8">
        <v>46174</v>
      </c>
      <c r="B79" t="s">
        <v>32</v>
      </c>
      <c r="C79">
        <v>67476</v>
      </c>
      <c r="D79">
        <v>65613</v>
      </c>
      <c r="E79" t="s">
        <v>46</v>
      </c>
      <c r="F79">
        <v>1863</v>
      </c>
      <c r="G79">
        <v>2.84</v>
      </c>
      <c r="H79" t="s">
        <v>47</v>
      </c>
    </row>
    <row r="80" spans="1:8" x14ac:dyDescent="0.35">
      <c r="A80" s="8">
        <v>46204</v>
      </c>
      <c r="B80" t="s">
        <v>32</v>
      </c>
      <c r="C80">
        <v>68204</v>
      </c>
      <c r="D80">
        <v>65732</v>
      </c>
      <c r="E80" t="s">
        <v>46</v>
      </c>
      <c r="F80">
        <v>2472</v>
      </c>
      <c r="G80">
        <v>3.76</v>
      </c>
      <c r="H80" t="s">
        <v>47</v>
      </c>
    </row>
    <row r="81" spans="1:8" x14ac:dyDescent="0.35">
      <c r="A81" s="8">
        <v>46235</v>
      </c>
      <c r="B81" t="s">
        <v>32</v>
      </c>
      <c r="C81">
        <v>68761</v>
      </c>
      <c r="D81">
        <v>66030</v>
      </c>
      <c r="E81" t="s">
        <v>46</v>
      </c>
      <c r="F81">
        <v>2731</v>
      </c>
      <c r="G81">
        <v>4.1399999999999997</v>
      </c>
      <c r="H81" t="s">
        <v>47</v>
      </c>
    </row>
    <row r="82" spans="1:8" x14ac:dyDescent="0.35">
      <c r="A82" s="8">
        <v>46266</v>
      </c>
      <c r="B82" t="s">
        <v>32</v>
      </c>
      <c r="C82">
        <v>69091</v>
      </c>
      <c r="D82">
        <v>66392</v>
      </c>
      <c r="E82" t="s">
        <v>46</v>
      </c>
      <c r="F82">
        <v>2699</v>
      </c>
      <c r="G82">
        <v>4.07</v>
      </c>
      <c r="H82" t="s">
        <v>47</v>
      </c>
    </row>
    <row r="83" spans="1:8" x14ac:dyDescent="0.35">
      <c r="A83" s="8">
        <v>46296</v>
      </c>
      <c r="B83" t="s">
        <v>32</v>
      </c>
      <c r="D83">
        <v>69380</v>
      </c>
      <c r="E83" t="s">
        <v>48</v>
      </c>
    </row>
    <row r="84" spans="1:8" x14ac:dyDescent="0.35">
      <c r="A84" s="8">
        <v>46327</v>
      </c>
      <c r="B84" t="s">
        <v>32</v>
      </c>
      <c r="D84">
        <v>69688</v>
      </c>
      <c r="E84" t="s">
        <v>48</v>
      </c>
    </row>
    <row r="85" spans="1:8" x14ac:dyDescent="0.35">
      <c r="A85" s="8">
        <v>46357</v>
      </c>
      <c r="B85" t="s">
        <v>32</v>
      </c>
      <c r="D85">
        <v>69979</v>
      </c>
      <c r="E85" t="s">
        <v>48</v>
      </c>
    </row>
    <row r="86" spans="1:8" x14ac:dyDescent="0.35">
      <c r="A86" s="8">
        <v>46388</v>
      </c>
      <c r="B86" t="s">
        <v>32</v>
      </c>
      <c r="D86">
        <v>73751</v>
      </c>
      <c r="E86" t="s">
        <v>48</v>
      </c>
    </row>
    <row r="87" spans="1:8" x14ac:dyDescent="0.35">
      <c r="A87" s="8">
        <v>46419</v>
      </c>
      <c r="B87" t="s">
        <v>32</v>
      </c>
      <c r="D87">
        <v>73227</v>
      </c>
      <c r="E87" t="s">
        <v>48</v>
      </c>
    </row>
    <row r="88" spans="1:8" x14ac:dyDescent="0.35">
      <c r="A88" s="8">
        <v>46447</v>
      </c>
      <c r="B88" t="s">
        <v>32</v>
      </c>
      <c r="D88">
        <v>72982</v>
      </c>
      <c r="E88" t="s">
        <v>48</v>
      </c>
    </row>
    <row r="89" spans="1:8" x14ac:dyDescent="0.35">
      <c r="A89" s="8">
        <v>46478</v>
      </c>
      <c r="B89" t="s">
        <v>32</v>
      </c>
      <c r="D89">
        <v>73283</v>
      </c>
      <c r="E89" t="s">
        <v>48</v>
      </c>
    </row>
    <row r="90" spans="1:8" x14ac:dyDescent="0.35">
      <c r="A90" s="8">
        <v>46508</v>
      </c>
      <c r="B90" t="s">
        <v>32</v>
      </c>
      <c r="D90">
        <v>73646</v>
      </c>
      <c r="E90" t="s">
        <v>48</v>
      </c>
    </row>
    <row r="91" spans="1:8" x14ac:dyDescent="0.35">
      <c r="A91" s="8">
        <v>46539</v>
      </c>
      <c r="B91" t="s">
        <v>32</v>
      </c>
      <c r="D91">
        <v>74132</v>
      </c>
      <c r="E91" t="s">
        <v>48</v>
      </c>
    </row>
    <row r="92" spans="1:8" x14ac:dyDescent="0.35">
      <c r="A92" s="8">
        <v>46569</v>
      </c>
      <c r="B92" t="s">
        <v>32</v>
      </c>
      <c r="D92">
        <v>74410</v>
      </c>
      <c r="E92" t="s">
        <v>48</v>
      </c>
    </row>
    <row r="93" spans="1:8" x14ac:dyDescent="0.35">
      <c r="A93" s="8">
        <v>46600</v>
      </c>
      <c r="B93" t="s">
        <v>32</v>
      </c>
      <c r="D93">
        <v>74802</v>
      </c>
      <c r="E93" t="s">
        <v>48</v>
      </c>
    </row>
    <row r="94" spans="1:8" x14ac:dyDescent="0.35">
      <c r="A94" s="8">
        <v>46631</v>
      </c>
      <c r="B94" t="s">
        <v>32</v>
      </c>
      <c r="D94">
        <v>75188</v>
      </c>
      <c r="E94" t="s">
        <v>48</v>
      </c>
    </row>
    <row r="95" spans="1:8" x14ac:dyDescent="0.35">
      <c r="A95" s="8">
        <v>46661</v>
      </c>
      <c r="B95" t="s">
        <v>32</v>
      </c>
      <c r="D95">
        <v>75477</v>
      </c>
      <c r="E95" t="s">
        <v>48</v>
      </c>
    </row>
    <row r="96" spans="1:8" x14ac:dyDescent="0.35">
      <c r="A96" s="8">
        <v>46692</v>
      </c>
      <c r="B96" t="s">
        <v>32</v>
      </c>
      <c r="D96">
        <v>75786</v>
      </c>
      <c r="E96" t="s">
        <v>48</v>
      </c>
    </row>
    <row r="97" spans="1:8" x14ac:dyDescent="0.35">
      <c r="A97" s="8">
        <v>46722</v>
      </c>
      <c r="B97" t="s">
        <v>32</v>
      </c>
      <c r="D97">
        <v>76076</v>
      </c>
      <c r="E97" t="s">
        <v>48</v>
      </c>
    </row>
    <row r="98" spans="1:8" x14ac:dyDescent="0.35">
      <c r="A98" s="8">
        <v>46023</v>
      </c>
      <c r="B98" t="s">
        <v>33</v>
      </c>
      <c r="C98">
        <v>29213</v>
      </c>
      <c r="D98">
        <v>29193</v>
      </c>
      <c r="E98" t="s">
        <v>46</v>
      </c>
      <c r="F98">
        <v>20</v>
      </c>
      <c r="G98">
        <v>7.0000000000000007E-2</v>
      </c>
      <c r="H98" t="s">
        <v>49</v>
      </c>
    </row>
    <row r="99" spans="1:8" x14ac:dyDescent="0.35">
      <c r="A99" s="8">
        <v>46054</v>
      </c>
      <c r="B99" t="s">
        <v>33</v>
      </c>
      <c r="C99">
        <v>28851</v>
      </c>
      <c r="D99">
        <v>28944</v>
      </c>
      <c r="E99" t="s">
        <v>46</v>
      </c>
      <c r="F99">
        <v>-93</v>
      </c>
      <c r="G99">
        <v>-0.32</v>
      </c>
      <c r="H99" t="s">
        <v>49</v>
      </c>
    </row>
    <row r="100" spans="1:8" x14ac:dyDescent="0.35">
      <c r="A100" s="8">
        <v>46082</v>
      </c>
      <c r="B100" t="s">
        <v>33</v>
      </c>
      <c r="C100">
        <v>28560</v>
      </c>
      <c r="D100">
        <v>28708</v>
      </c>
      <c r="E100" t="s">
        <v>46</v>
      </c>
      <c r="F100">
        <v>-148</v>
      </c>
      <c r="G100">
        <v>-0.52</v>
      </c>
      <c r="H100" t="s">
        <v>49</v>
      </c>
    </row>
    <row r="101" spans="1:8" x14ac:dyDescent="0.35">
      <c r="A101" s="8">
        <v>46113</v>
      </c>
      <c r="B101" t="s">
        <v>33</v>
      </c>
      <c r="C101">
        <v>28547</v>
      </c>
      <c r="D101">
        <v>28548</v>
      </c>
      <c r="E101" t="s">
        <v>46</v>
      </c>
      <c r="F101">
        <v>-1</v>
      </c>
      <c r="G101">
        <v>0</v>
      </c>
      <c r="H101" t="s">
        <v>49</v>
      </c>
    </row>
    <row r="102" spans="1:8" x14ac:dyDescent="0.35">
      <c r="A102" s="8">
        <v>46143</v>
      </c>
      <c r="B102" t="s">
        <v>33</v>
      </c>
      <c r="C102">
        <v>28419</v>
      </c>
      <c r="D102">
        <v>28501</v>
      </c>
      <c r="E102" t="s">
        <v>46</v>
      </c>
      <c r="F102">
        <v>-82</v>
      </c>
      <c r="G102">
        <v>-0.28999999999999998</v>
      </c>
      <c r="H102" t="s">
        <v>49</v>
      </c>
    </row>
    <row r="103" spans="1:8" x14ac:dyDescent="0.35">
      <c r="A103" s="8">
        <v>46174</v>
      </c>
      <c r="B103" t="s">
        <v>33</v>
      </c>
      <c r="C103">
        <v>28290</v>
      </c>
      <c r="D103">
        <v>28561</v>
      </c>
      <c r="E103" t="s">
        <v>46</v>
      </c>
      <c r="F103">
        <v>-271</v>
      </c>
      <c r="G103">
        <v>-0.95</v>
      </c>
      <c r="H103" t="s">
        <v>49</v>
      </c>
    </row>
    <row r="104" spans="1:8" x14ac:dyDescent="0.35">
      <c r="A104" s="8">
        <v>46204</v>
      </c>
      <c r="B104" t="s">
        <v>33</v>
      </c>
      <c r="C104">
        <v>28428</v>
      </c>
      <c r="D104">
        <v>28479</v>
      </c>
      <c r="E104" t="s">
        <v>46</v>
      </c>
      <c r="F104">
        <v>-51</v>
      </c>
      <c r="G104">
        <v>-0.18</v>
      </c>
      <c r="H104" t="s">
        <v>49</v>
      </c>
    </row>
    <row r="105" spans="1:8" x14ac:dyDescent="0.35">
      <c r="A105" s="8">
        <v>46235</v>
      </c>
      <c r="B105" t="s">
        <v>33</v>
      </c>
      <c r="C105">
        <v>28247</v>
      </c>
      <c r="D105">
        <v>28461</v>
      </c>
      <c r="E105" t="s">
        <v>46</v>
      </c>
      <c r="F105">
        <v>-214</v>
      </c>
      <c r="G105">
        <v>-0.75</v>
      </c>
      <c r="H105" t="s">
        <v>49</v>
      </c>
    </row>
    <row r="106" spans="1:8" x14ac:dyDescent="0.35">
      <c r="A106" s="8">
        <v>46266</v>
      </c>
      <c r="B106" t="s">
        <v>33</v>
      </c>
      <c r="C106">
        <v>28476</v>
      </c>
      <c r="D106">
        <v>28481</v>
      </c>
      <c r="E106" t="s">
        <v>46</v>
      </c>
      <c r="F106">
        <v>-5</v>
      </c>
      <c r="G106">
        <v>-0.02</v>
      </c>
      <c r="H106" t="s">
        <v>49</v>
      </c>
    </row>
    <row r="107" spans="1:8" x14ac:dyDescent="0.35">
      <c r="A107" s="8">
        <v>46296</v>
      </c>
      <c r="B107" t="s">
        <v>33</v>
      </c>
      <c r="D107">
        <v>28322</v>
      </c>
      <c r="E107" t="s">
        <v>48</v>
      </c>
    </row>
    <row r="108" spans="1:8" x14ac:dyDescent="0.35">
      <c r="A108" s="8">
        <v>46327</v>
      </c>
      <c r="B108" t="s">
        <v>33</v>
      </c>
      <c r="D108">
        <v>28325</v>
      </c>
      <c r="E108" t="s">
        <v>48</v>
      </c>
    </row>
    <row r="109" spans="1:8" x14ac:dyDescent="0.35">
      <c r="A109" s="8">
        <v>46357</v>
      </c>
      <c r="B109" t="s">
        <v>33</v>
      </c>
      <c r="D109">
        <v>28271</v>
      </c>
      <c r="E109" t="s">
        <v>48</v>
      </c>
    </row>
    <row r="110" spans="1:8" x14ac:dyDescent="0.35">
      <c r="A110" s="8">
        <v>46388</v>
      </c>
      <c r="B110" t="s">
        <v>33</v>
      </c>
      <c r="D110">
        <v>29156</v>
      </c>
      <c r="E110" t="s">
        <v>48</v>
      </c>
    </row>
    <row r="111" spans="1:8" x14ac:dyDescent="0.35">
      <c r="A111" s="8">
        <v>46419</v>
      </c>
      <c r="B111" t="s">
        <v>33</v>
      </c>
      <c r="D111">
        <v>28888</v>
      </c>
      <c r="E111" t="s">
        <v>48</v>
      </c>
    </row>
    <row r="112" spans="1:8" x14ac:dyDescent="0.35">
      <c r="A112" s="8">
        <v>46447</v>
      </c>
      <c r="B112" t="s">
        <v>33</v>
      </c>
      <c r="D112">
        <v>28642</v>
      </c>
      <c r="E112" t="s">
        <v>48</v>
      </c>
    </row>
    <row r="113" spans="1:8" x14ac:dyDescent="0.35">
      <c r="A113" s="8">
        <v>46478</v>
      </c>
      <c r="B113" t="s">
        <v>33</v>
      </c>
      <c r="D113">
        <v>28508</v>
      </c>
      <c r="E113" t="s">
        <v>48</v>
      </c>
    </row>
    <row r="114" spans="1:8" x14ac:dyDescent="0.35">
      <c r="A114" s="8">
        <v>46508</v>
      </c>
      <c r="B114" t="s">
        <v>33</v>
      </c>
      <c r="D114">
        <v>28446</v>
      </c>
      <c r="E114" t="s">
        <v>48</v>
      </c>
    </row>
    <row r="115" spans="1:8" x14ac:dyDescent="0.35">
      <c r="A115" s="8">
        <v>46539</v>
      </c>
      <c r="B115" t="s">
        <v>33</v>
      </c>
      <c r="D115">
        <v>28475</v>
      </c>
      <c r="E115" t="s">
        <v>48</v>
      </c>
    </row>
    <row r="116" spans="1:8" x14ac:dyDescent="0.35">
      <c r="A116" s="8">
        <v>46569</v>
      </c>
      <c r="B116" t="s">
        <v>33</v>
      </c>
      <c r="D116">
        <v>28430</v>
      </c>
      <c r="E116" t="s">
        <v>48</v>
      </c>
    </row>
    <row r="117" spans="1:8" x14ac:dyDescent="0.35">
      <c r="A117" s="8">
        <v>46600</v>
      </c>
      <c r="B117" t="s">
        <v>33</v>
      </c>
      <c r="D117">
        <v>28385</v>
      </c>
      <c r="E117" t="s">
        <v>48</v>
      </c>
    </row>
    <row r="118" spans="1:8" x14ac:dyDescent="0.35">
      <c r="A118" s="8">
        <v>46631</v>
      </c>
      <c r="B118" t="s">
        <v>33</v>
      </c>
      <c r="D118">
        <v>28439</v>
      </c>
      <c r="E118" t="s">
        <v>48</v>
      </c>
    </row>
    <row r="119" spans="1:8" x14ac:dyDescent="0.35">
      <c r="A119" s="8">
        <v>46661</v>
      </c>
      <c r="B119" t="s">
        <v>33</v>
      </c>
      <c r="D119">
        <v>28353</v>
      </c>
      <c r="E119" t="s">
        <v>48</v>
      </c>
    </row>
    <row r="120" spans="1:8" x14ac:dyDescent="0.35">
      <c r="A120" s="8">
        <v>46692</v>
      </c>
      <c r="B120" t="s">
        <v>33</v>
      </c>
      <c r="D120">
        <v>28357</v>
      </c>
      <c r="E120" t="s">
        <v>48</v>
      </c>
    </row>
    <row r="121" spans="1:8" x14ac:dyDescent="0.35">
      <c r="A121" s="8">
        <v>46722</v>
      </c>
      <c r="B121" t="s">
        <v>33</v>
      </c>
      <c r="D121">
        <v>28302</v>
      </c>
      <c r="E121" t="s">
        <v>48</v>
      </c>
    </row>
    <row r="122" spans="1:8" x14ac:dyDescent="0.35">
      <c r="A122" s="8">
        <v>46023</v>
      </c>
      <c r="B122" t="s">
        <v>35</v>
      </c>
      <c r="C122">
        <v>54534</v>
      </c>
      <c r="D122">
        <v>54673</v>
      </c>
      <c r="E122" t="s">
        <v>46</v>
      </c>
      <c r="F122">
        <v>-139</v>
      </c>
      <c r="G122">
        <v>-0.25</v>
      </c>
      <c r="H122" t="s">
        <v>49</v>
      </c>
    </row>
    <row r="123" spans="1:8" x14ac:dyDescent="0.35">
      <c r="A123" s="8">
        <v>46054</v>
      </c>
      <c r="B123" t="s">
        <v>35</v>
      </c>
      <c r="C123">
        <v>54439</v>
      </c>
      <c r="D123">
        <v>54598</v>
      </c>
      <c r="E123" t="s">
        <v>46</v>
      </c>
      <c r="F123">
        <v>-159</v>
      </c>
      <c r="G123">
        <v>-0.28999999999999998</v>
      </c>
      <c r="H123" t="s">
        <v>49</v>
      </c>
    </row>
    <row r="124" spans="1:8" x14ac:dyDescent="0.35">
      <c r="A124" s="8">
        <v>46082</v>
      </c>
      <c r="B124" t="s">
        <v>35</v>
      </c>
      <c r="C124">
        <v>54701</v>
      </c>
      <c r="D124">
        <v>54487</v>
      </c>
      <c r="E124" t="s">
        <v>46</v>
      </c>
      <c r="F124">
        <v>214</v>
      </c>
      <c r="G124">
        <v>0.39</v>
      </c>
      <c r="H124" t="s">
        <v>49</v>
      </c>
    </row>
    <row r="125" spans="1:8" x14ac:dyDescent="0.35">
      <c r="A125" s="8">
        <v>46113</v>
      </c>
      <c r="B125" t="s">
        <v>35</v>
      </c>
      <c r="C125">
        <v>54423</v>
      </c>
      <c r="D125">
        <v>54310</v>
      </c>
      <c r="E125" t="s">
        <v>46</v>
      </c>
      <c r="F125">
        <v>113</v>
      </c>
      <c r="G125">
        <v>0.21</v>
      </c>
      <c r="H125" t="s">
        <v>49</v>
      </c>
    </row>
    <row r="126" spans="1:8" x14ac:dyDescent="0.35">
      <c r="A126" s="8">
        <v>46143</v>
      </c>
      <c r="B126" t="s">
        <v>35</v>
      </c>
      <c r="C126">
        <v>54603</v>
      </c>
      <c r="D126">
        <v>54426</v>
      </c>
      <c r="E126" t="s">
        <v>46</v>
      </c>
      <c r="F126">
        <v>177</v>
      </c>
      <c r="G126">
        <v>0.33</v>
      </c>
      <c r="H126" t="s">
        <v>49</v>
      </c>
    </row>
    <row r="127" spans="1:8" x14ac:dyDescent="0.35">
      <c r="A127" s="8">
        <v>46174</v>
      </c>
      <c r="B127" t="s">
        <v>35</v>
      </c>
      <c r="C127">
        <v>54277</v>
      </c>
      <c r="D127">
        <v>54311</v>
      </c>
      <c r="E127" t="s">
        <v>46</v>
      </c>
      <c r="F127">
        <v>-34</v>
      </c>
      <c r="G127">
        <v>-0.06</v>
      </c>
      <c r="H127" t="s">
        <v>49</v>
      </c>
    </row>
    <row r="128" spans="1:8" x14ac:dyDescent="0.35">
      <c r="A128" s="8">
        <v>46204</v>
      </c>
      <c r="B128" t="s">
        <v>35</v>
      </c>
      <c r="C128">
        <v>54013</v>
      </c>
      <c r="D128">
        <v>54074</v>
      </c>
      <c r="E128" t="s">
        <v>46</v>
      </c>
      <c r="F128">
        <v>-61</v>
      </c>
      <c r="G128">
        <v>-0.11</v>
      </c>
      <c r="H128" t="s">
        <v>49</v>
      </c>
    </row>
    <row r="129" spans="1:8" x14ac:dyDescent="0.35">
      <c r="A129" s="8">
        <v>46235</v>
      </c>
      <c r="B129" t="s">
        <v>35</v>
      </c>
      <c r="C129">
        <v>53710</v>
      </c>
      <c r="D129">
        <v>54024</v>
      </c>
      <c r="E129" t="s">
        <v>46</v>
      </c>
      <c r="F129">
        <v>-314</v>
      </c>
      <c r="G129">
        <v>-0.57999999999999996</v>
      </c>
      <c r="H129" t="s">
        <v>49</v>
      </c>
    </row>
    <row r="130" spans="1:8" x14ac:dyDescent="0.35">
      <c r="A130" s="8">
        <v>46266</v>
      </c>
      <c r="B130" t="s">
        <v>35</v>
      </c>
      <c r="C130">
        <v>53535</v>
      </c>
      <c r="D130">
        <v>54047</v>
      </c>
      <c r="E130" t="s">
        <v>46</v>
      </c>
      <c r="F130">
        <v>-512</v>
      </c>
      <c r="G130">
        <v>-0.95</v>
      </c>
      <c r="H130" t="s">
        <v>49</v>
      </c>
    </row>
    <row r="131" spans="1:8" x14ac:dyDescent="0.35">
      <c r="A131" s="8">
        <v>46296</v>
      </c>
      <c r="B131" t="s">
        <v>35</v>
      </c>
      <c r="D131">
        <v>53470</v>
      </c>
      <c r="E131" t="s">
        <v>48</v>
      </c>
    </row>
    <row r="132" spans="1:8" x14ac:dyDescent="0.35">
      <c r="A132" s="8">
        <v>46327</v>
      </c>
      <c r="B132" t="s">
        <v>35</v>
      </c>
      <c r="D132">
        <v>53416</v>
      </c>
      <c r="E132" t="s">
        <v>48</v>
      </c>
    </row>
    <row r="133" spans="1:8" x14ac:dyDescent="0.35">
      <c r="A133" s="8">
        <v>46357</v>
      </c>
      <c r="B133" t="s">
        <v>35</v>
      </c>
      <c r="D133">
        <v>53425</v>
      </c>
      <c r="E133" t="s">
        <v>48</v>
      </c>
    </row>
    <row r="134" spans="1:8" x14ac:dyDescent="0.35">
      <c r="A134" s="8">
        <v>46388</v>
      </c>
      <c r="B134" t="s">
        <v>35</v>
      </c>
      <c r="D134">
        <v>54249</v>
      </c>
      <c r="E134" t="s">
        <v>48</v>
      </c>
    </row>
    <row r="135" spans="1:8" x14ac:dyDescent="0.35">
      <c r="A135" s="8">
        <v>46419</v>
      </c>
      <c r="B135" t="s">
        <v>35</v>
      </c>
      <c r="D135">
        <v>54167</v>
      </c>
      <c r="E135" t="s">
        <v>48</v>
      </c>
    </row>
    <row r="136" spans="1:8" x14ac:dyDescent="0.35">
      <c r="A136" s="8">
        <v>46447</v>
      </c>
      <c r="B136" t="s">
        <v>35</v>
      </c>
      <c r="D136">
        <v>54118</v>
      </c>
      <c r="E136" t="s">
        <v>48</v>
      </c>
    </row>
    <row r="137" spans="1:8" x14ac:dyDescent="0.35">
      <c r="A137" s="8">
        <v>46478</v>
      </c>
      <c r="B137" t="s">
        <v>35</v>
      </c>
      <c r="D137">
        <v>53927</v>
      </c>
      <c r="E137" t="s">
        <v>48</v>
      </c>
    </row>
    <row r="138" spans="1:8" x14ac:dyDescent="0.35">
      <c r="A138" s="8">
        <v>46508</v>
      </c>
      <c r="B138" t="s">
        <v>35</v>
      </c>
      <c r="D138">
        <v>54053</v>
      </c>
      <c r="E138" t="s">
        <v>48</v>
      </c>
    </row>
    <row r="139" spans="1:8" x14ac:dyDescent="0.35">
      <c r="A139" s="8">
        <v>46539</v>
      </c>
      <c r="B139" t="s">
        <v>35</v>
      </c>
      <c r="D139">
        <v>53896</v>
      </c>
      <c r="E139" t="s">
        <v>48</v>
      </c>
    </row>
    <row r="140" spans="1:8" x14ac:dyDescent="0.35">
      <c r="A140" s="8">
        <v>46569</v>
      </c>
      <c r="B140" t="s">
        <v>35</v>
      </c>
      <c r="D140">
        <v>53662</v>
      </c>
      <c r="E140" t="s">
        <v>48</v>
      </c>
    </row>
    <row r="141" spans="1:8" x14ac:dyDescent="0.35">
      <c r="A141" s="8">
        <v>46600</v>
      </c>
      <c r="B141" t="s">
        <v>35</v>
      </c>
      <c r="D141">
        <v>53566</v>
      </c>
      <c r="E141" t="s">
        <v>48</v>
      </c>
    </row>
    <row r="142" spans="1:8" x14ac:dyDescent="0.35">
      <c r="A142" s="8">
        <v>46631</v>
      </c>
      <c r="B142" t="s">
        <v>35</v>
      </c>
      <c r="D142">
        <v>53562</v>
      </c>
      <c r="E142" t="s">
        <v>48</v>
      </c>
    </row>
    <row r="143" spans="1:8" x14ac:dyDescent="0.35">
      <c r="A143" s="8">
        <v>46661</v>
      </c>
      <c r="B143" t="s">
        <v>35</v>
      </c>
      <c r="D143">
        <v>53368</v>
      </c>
      <c r="E143" t="s">
        <v>48</v>
      </c>
    </row>
    <row r="144" spans="1:8" x14ac:dyDescent="0.35">
      <c r="A144" s="8">
        <v>46692</v>
      </c>
      <c r="B144" t="s">
        <v>35</v>
      </c>
      <c r="D144">
        <v>53314</v>
      </c>
      <c r="E144" t="s">
        <v>48</v>
      </c>
    </row>
    <row r="145" spans="1:5" x14ac:dyDescent="0.35">
      <c r="A145" s="8">
        <v>46722</v>
      </c>
      <c r="B145" t="s">
        <v>35</v>
      </c>
      <c r="D145">
        <v>53323</v>
      </c>
      <c r="E145" t="s">
        <v>48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2" customWidth="1"/>
    <col min="4" max="4" width="20" customWidth="1"/>
    <col min="5" max="5" width="17" customWidth="1"/>
    <col min="6" max="6" width="12" customWidth="1"/>
    <col min="7" max="7" width="14" customWidth="1"/>
    <col min="8" max="8" width="12" customWidth="1"/>
  </cols>
  <sheetData>
    <row r="1" spans="1:8" x14ac:dyDescent="0.35">
      <c r="A1" t="s">
        <v>17</v>
      </c>
      <c r="B1" t="s">
        <v>18</v>
      </c>
      <c r="C1" t="s">
        <v>50</v>
      </c>
      <c r="D1" t="s">
        <v>51</v>
      </c>
      <c r="E1" t="s">
        <v>52</v>
      </c>
      <c r="F1" t="s">
        <v>41</v>
      </c>
      <c r="G1" t="s">
        <v>42</v>
      </c>
      <c r="H1" t="s">
        <v>53</v>
      </c>
    </row>
    <row r="2" spans="1:8" x14ac:dyDescent="0.35">
      <c r="A2" t="s">
        <v>54</v>
      </c>
      <c r="B2" t="s">
        <v>32</v>
      </c>
      <c r="C2" t="s">
        <v>55</v>
      </c>
      <c r="D2">
        <v>21997</v>
      </c>
      <c r="E2">
        <v>20457</v>
      </c>
      <c r="F2">
        <v>1540</v>
      </c>
      <c r="G2">
        <v>7</v>
      </c>
      <c r="H2" t="s">
        <v>47</v>
      </c>
    </row>
    <row r="3" spans="1:8" x14ac:dyDescent="0.35">
      <c r="A3" t="s">
        <v>56</v>
      </c>
      <c r="B3" t="s">
        <v>27</v>
      </c>
      <c r="C3" t="s">
        <v>57</v>
      </c>
      <c r="D3">
        <v>7059</v>
      </c>
      <c r="E3">
        <v>6847</v>
      </c>
      <c r="F3">
        <v>212</v>
      </c>
      <c r="G3">
        <v>3</v>
      </c>
      <c r="H3" t="s">
        <v>47</v>
      </c>
    </row>
    <row r="4" spans="1:8" x14ac:dyDescent="0.35">
      <c r="A4" t="s">
        <v>56</v>
      </c>
      <c r="B4" t="s">
        <v>27</v>
      </c>
      <c r="C4" t="s">
        <v>58</v>
      </c>
      <c r="D4">
        <v>6175</v>
      </c>
      <c r="E4">
        <v>5990</v>
      </c>
      <c r="F4">
        <v>185</v>
      </c>
      <c r="G4">
        <v>3</v>
      </c>
      <c r="H4" t="s">
        <v>47</v>
      </c>
    </row>
    <row r="5" spans="1:8" x14ac:dyDescent="0.35">
      <c r="A5" t="s">
        <v>56</v>
      </c>
      <c r="B5" t="s">
        <v>27</v>
      </c>
      <c r="C5" t="s">
        <v>59</v>
      </c>
      <c r="D5">
        <v>7023</v>
      </c>
      <c r="E5">
        <v>6812</v>
      </c>
      <c r="F5">
        <v>211</v>
      </c>
      <c r="G5">
        <v>3</v>
      </c>
      <c r="H5" t="s">
        <v>47</v>
      </c>
    </row>
    <row r="6" spans="1:8" x14ac:dyDescent="0.35">
      <c r="A6" t="s">
        <v>56</v>
      </c>
      <c r="B6" t="s">
        <v>27</v>
      </c>
      <c r="C6" t="s">
        <v>60</v>
      </c>
      <c r="D6">
        <v>9247</v>
      </c>
      <c r="E6">
        <v>8970</v>
      </c>
      <c r="F6">
        <v>277</v>
      </c>
      <c r="G6">
        <v>3</v>
      </c>
      <c r="H6" t="s">
        <v>47</v>
      </c>
    </row>
    <row r="7" spans="1:8" x14ac:dyDescent="0.35">
      <c r="A7" t="s">
        <v>56</v>
      </c>
      <c r="B7" t="s">
        <v>27</v>
      </c>
      <c r="C7" t="s">
        <v>55</v>
      </c>
      <c r="D7">
        <v>14615</v>
      </c>
      <c r="E7">
        <v>14177</v>
      </c>
      <c r="F7">
        <v>438</v>
      </c>
      <c r="G7">
        <v>3</v>
      </c>
      <c r="H7" t="s">
        <v>47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70"/>
  <sheetViews>
    <sheetView workbookViewId="0"/>
  </sheetViews>
  <sheetFormatPr defaultRowHeight="14.5" x14ac:dyDescent="0.35"/>
  <sheetData>
    <row r="1" spans="1:1" x14ac:dyDescent="0.35">
      <c r="A1" t="s">
        <v>17</v>
      </c>
    </row>
    <row r="2" spans="1:1" x14ac:dyDescent="0.35">
      <c r="A2" s="10">
        <v>44197</v>
      </c>
    </row>
    <row r="3" spans="1:1" x14ac:dyDescent="0.35">
      <c r="A3" s="10">
        <v>44228</v>
      </c>
    </row>
    <row r="4" spans="1:1" x14ac:dyDescent="0.35">
      <c r="A4" s="10">
        <v>44256</v>
      </c>
    </row>
    <row r="5" spans="1:1" x14ac:dyDescent="0.35">
      <c r="A5" s="10">
        <v>44287</v>
      </c>
    </row>
    <row r="6" spans="1:1" x14ac:dyDescent="0.35">
      <c r="A6" s="10">
        <v>44317</v>
      </c>
    </row>
    <row r="7" spans="1:1" x14ac:dyDescent="0.35">
      <c r="A7" s="10">
        <v>44348</v>
      </c>
    </row>
    <row r="8" spans="1:1" x14ac:dyDescent="0.35">
      <c r="A8" s="10">
        <v>44378</v>
      </c>
    </row>
    <row r="9" spans="1:1" x14ac:dyDescent="0.35">
      <c r="A9" s="10">
        <v>44409</v>
      </c>
    </row>
    <row r="10" spans="1:1" x14ac:dyDescent="0.35">
      <c r="A10" s="10">
        <v>44440</v>
      </c>
    </row>
    <row r="11" spans="1:1" x14ac:dyDescent="0.35">
      <c r="A11" s="10">
        <v>44470</v>
      </c>
    </row>
    <row r="12" spans="1:1" x14ac:dyDescent="0.35">
      <c r="A12" s="10">
        <v>44501</v>
      </c>
    </row>
    <row r="13" spans="1:1" x14ac:dyDescent="0.35">
      <c r="A13" s="10">
        <v>44531</v>
      </c>
    </row>
    <row r="14" spans="1:1" x14ac:dyDescent="0.35">
      <c r="A14" s="10">
        <v>44562</v>
      </c>
    </row>
    <row r="15" spans="1:1" x14ac:dyDescent="0.35">
      <c r="A15" s="10">
        <v>44593</v>
      </c>
    </row>
    <row r="16" spans="1:1" x14ac:dyDescent="0.35">
      <c r="A16" s="10">
        <v>44621</v>
      </c>
    </row>
    <row r="17" spans="1:1" x14ac:dyDescent="0.35">
      <c r="A17" s="10">
        <v>44652</v>
      </c>
    </row>
    <row r="18" spans="1:1" x14ac:dyDescent="0.35">
      <c r="A18" s="10">
        <v>44682</v>
      </c>
    </row>
    <row r="19" spans="1:1" x14ac:dyDescent="0.35">
      <c r="A19" s="10">
        <v>44713</v>
      </c>
    </row>
    <row r="20" spans="1:1" x14ac:dyDescent="0.35">
      <c r="A20" s="10">
        <v>44743</v>
      </c>
    </row>
    <row r="21" spans="1:1" x14ac:dyDescent="0.35">
      <c r="A21" s="10">
        <v>44774</v>
      </c>
    </row>
    <row r="22" spans="1:1" x14ac:dyDescent="0.35">
      <c r="A22" s="10">
        <v>44805</v>
      </c>
    </row>
    <row r="23" spans="1:1" x14ac:dyDescent="0.35">
      <c r="A23" s="10">
        <v>44835</v>
      </c>
    </row>
    <row r="24" spans="1:1" x14ac:dyDescent="0.35">
      <c r="A24" s="10">
        <v>44866</v>
      </c>
    </row>
    <row r="25" spans="1:1" x14ac:dyDescent="0.35">
      <c r="A25" s="10">
        <v>44896</v>
      </c>
    </row>
    <row r="26" spans="1:1" x14ac:dyDescent="0.35">
      <c r="A26" s="10">
        <v>44927</v>
      </c>
    </row>
    <row r="27" spans="1:1" x14ac:dyDescent="0.35">
      <c r="A27" s="10">
        <v>44958</v>
      </c>
    </row>
    <row r="28" spans="1:1" x14ac:dyDescent="0.35">
      <c r="A28" s="10">
        <v>44986</v>
      </c>
    </row>
    <row r="29" spans="1:1" x14ac:dyDescent="0.35">
      <c r="A29" s="10">
        <v>45017</v>
      </c>
    </row>
    <row r="30" spans="1:1" x14ac:dyDescent="0.35">
      <c r="A30" s="10">
        <v>45047</v>
      </c>
    </row>
    <row r="31" spans="1:1" x14ac:dyDescent="0.35">
      <c r="A31" s="10">
        <v>45078</v>
      </c>
    </row>
    <row r="32" spans="1:1" x14ac:dyDescent="0.35">
      <c r="A32" s="10">
        <v>45108</v>
      </c>
    </row>
    <row r="33" spans="1:1" x14ac:dyDescent="0.35">
      <c r="A33" s="10">
        <v>45139</v>
      </c>
    </row>
    <row r="34" spans="1:1" x14ac:dyDescent="0.35">
      <c r="A34" s="10">
        <v>45170</v>
      </c>
    </row>
    <row r="35" spans="1:1" x14ac:dyDescent="0.35">
      <c r="A35" s="10">
        <v>45200</v>
      </c>
    </row>
    <row r="36" spans="1:1" x14ac:dyDescent="0.35">
      <c r="A36" s="10">
        <v>45231</v>
      </c>
    </row>
    <row r="37" spans="1:1" x14ac:dyDescent="0.35">
      <c r="A37" s="10">
        <v>45261</v>
      </c>
    </row>
    <row r="38" spans="1:1" x14ac:dyDescent="0.35">
      <c r="A38" s="10">
        <v>45292</v>
      </c>
    </row>
    <row r="39" spans="1:1" x14ac:dyDescent="0.35">
      <c r="A39" s="10">
        <v>45323</v>
      </c>
    </row>
    <row r="40" spans="1:1" x14ac:dyDescent="0.35">
      <c r="A40" s="10">
        <v>45352</v>
      </c>
    </row>
    <row r="41" spans="1:1" x14ac:dyDescent="0.35">
      <c r="A41" s="10">
        <v>45383</v>
      </c>
    </row>
    <row r="42" spans="1:1" x14ac:dyDescent="0.35">
      <c r="A42" s="10">
        <v>45413</v>
      </c>
    </row>
    <row r="43" spans="1:1" x14ac:dyDescent="0.35">
      <c r="A43" s="10">
        <v>45444</v>
      </c>
    </row>
    <row r="44" spans="1:1" x14ac:dyDescent="0.35">
      <c r="A44" s="10">
        <v>45474</v>
      </c>
    </row>
    <row r="45" spans="1:1" x14ac:dyDescent="0.35">
      <c r="A45" s="10">
        <v>45505</v>
      </c>
    </row>
    <row r="46" spans="1:1" x14ac:dyDescent="0.35">
      <c r="A46" s="10">
        <v>45536</v>
      </c>
    </row>
    <row r="47" spans="1:1" x14ac:dyDescent="0.35">
      <c r="A47" s="10">
        <v>45566</v>
      </c>
    </row>
    <row r="48" spans="1:1" x14ac:dyDescent="0.35">
      <c r="A48" s="10">
        <v>45597</v>
      </c>
    </row>
    <row r="49" spans="1:1" x14ac:dyDescent="0.35">
      <c r="A49" s="10">
        <v>45627</v>
      </c>
    </row>
    <row r="50" spans="1:1" x14ac:dyDescent="0.35">
      <c r="A50" s="10">
        <v>45658</v>
      </c>
    </row>
    <row r="51" spans="1:1" x14ac:dyDescent="0.35">
      <c r="A51" s="10">
        <v>45689</v>
      </c>
    </row>
    <row r="52" spans="1:1" x14ac:dyDescent="0.35">
      <c r="A52" s="10">
        <v>45717</v>
      </c>
    </row>
    <row r="53" spans="1:1" x14ac:dyDescent="0.35">
      <c r="A53" s="10">
        <v>45748</v>
      </c>
    </row>
    <row r="54" spans="1:1" x14ac:dyDescent="0.35">
      <c r="A54" s="10">
        <v>45778</v>
      </c>
    </row>
    <row r="55" spans="1:1" x14ac:dyDescent="0.35">
      <c r="A55" s="10">
        <v>45809</v>
      </c>
    </row>
    <row r="56" spans="1:1" x14ac:dyDescent="0.35">
      <c r="A56" s="10">
        <v>45839</v>
      </c>
    </row>
    <row r="57" spans="1:1" x14ac:dyDescent="0.35">
      <c r="A57" s="10">
        <v>45870</v>
      </c>
    </row>
    <row r="58" spans="1:1" x14ac:dyDescent="0.35">
      <c r="A58" s="10">
        <v>45901</v>
      </c>
    </row>
    <row r="59" spans="1:1" x14ac:dyDescent="0.35">
      <c r="A59" s="10">
        <v>45931</v>
      </c>
    </row>
    <row r="60" spans="1:1" x14ac:dyDescent="0.35">
      <c r="A60" s="10">
        <v>45962</v>
      </c>
    </row>
    <row r="61" spans="1:1" x14ac:dyDescent="0.35">
      <c r="A61" s="10">
        <v>45992</v>
      </c>
    </row>
    <row r="62" spans="1:1" x14ac:dyDescent="0.35">
      <c r="A62" s="10">
        <v>46023</v>
      </c>
    </row>
    <row r="63" spans="1:1" x14ac:dyDescent="0.35">
      <c r="A63" s="10">
        <v>46054</v>
      </c>
    </row>
    <row r="64" spans="1:1" x14ac:dyDescent="0.35">
      <c r="A64" s="10">
        <v>46082</v>
      </c>
    </row>
    <row r="65" spans="1:1" x14ac:dyDescent="0.35">
      <c r="A65" s="10">
        <v>46113</v>
      </c>
    </row>
    <row r="66" spans="1:1" x14ac:dyDescent="0.35">
      <c r="A66" s="10">
        <v>46143</v>
      </c>
    </row>
    <row r="67" spans="1:1" x14ac:dyDescent="0.35">
      <c r="A67" s="10">
        <v>46174</v>
      </c>
    </row>
    <row r="68" spans="1:1" x14ac:dyDescent="0.35">
      <c r="A68" s="10">
        <v>46204</v>
      </c>
    </row>
    <row r="69" spans="1:1" x14ac:dyDescent="0.35">
      <c r="A69" s="10">
        <v>46235</v>
      </c>
    </row>
    <row r="70" spans="1:1" x14ac:dyDescent="0.35">
      <c r="A70" s="10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</vt:lpstr>
      <vt:lpstr>Pivot</vt:lpstr>
      <vt:lpstr>Data</vt:lpstr>
      <vt:lpstr>Products</vt:lpstr>
      <vt:lpstr>Budget</vt:lpstr>
      <vt:lpstr>Forecast</vt:lpstr>
      <vt:lpstr>Reconciliation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Dolas</cp:lastModifiedBy>
  <dcterms:created xsi:type="dcterms:W3CDTF">2026-10-27T15:29:10Z</dcterms:created>
  <dcterms:modified xsi:type="dcterms:W3CDTF">2026-10-27T15:29:11Z</dcterms:modified>
</cp:coreProperties>
</file>